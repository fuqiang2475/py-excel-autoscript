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ycharm\PythonProject\DailyReport\"/>
    </mc:Choice>
  </mc:AlternateContent>
  <xr:revisionPtr revIDLastSave="0" documentId="13_ncr:1_{2ECA9573-C5EF-435C-8065-00284FD27E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月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AR21" i="1"/>
  <c r="AR20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F12" i="1" s="1"/>
  <c r="AN6" i="1"/>
  <c r="AO6" i="1" s="1"/>
  <c r="AN7" i="1"/>
  <c r="AO7" i="1" s="1"/>
  <c r="AN8" i="1"/>
  <c r="AO8" i="1" s="1"/>
  <c r="AN9" i="1"/>
  <c r="AO9" i="1" s="1"/>
  <c r="AN10" i="1"/>
  <c r="AO10" i="1" s="1"/>
  <c r="AN11" i="1"/>
  <c r="AO11" i="1" s="1"/>
  <c r="AN13" i="1"/>
  <c r="AO13" i="1" s="1"/>
  <c r="AN19" i="1"/>
  <c r="AO19" i="1" s="1"/>
  <c r="AN20" i="1"/>
  <c r="AO20" i="1" s="1"/>
  <c r="AN21" i="1"/>
  <c r="AO21" i="1" s="1"/>
  <c r="AN22" i="1"/>
  <c r="AO22" i="1" s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I5" i="1"/>
  <c r="AN4" i="1" l="1"/>
  <c r="AO4" i="1" s="1"/>
  <c r="AN5" i="1"/>
  <c r="AO5" i="1" s="1"/>
  <c r="AN12" i="1"/>
  <c r="AO12" i="1" s="1"/>
  <c r="G6" i="1"/>
  <c r="F21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F15" i="1" s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F16" i="1" s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F17" i="1" s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I15" i="1"/>
  <c r="I16" i="1"/>
  <c r="I17" i="1"/>
  <c r="I18" i="1"/>
  <c r="I14" i="1"/>
  <c r="X3" i="1"/>
  <c r="I3" i="1"/>
  <c r="L3" i="1"/>
  <c r="M3" i="1"/>
  <c r="P3" i="1"/>
  <c r="Q3" i="1"/>
  <c r="T3" i="1"/>
  <c r="U3" i="1"/>
  <c r="Y3" i="1"/>
  <c r="AB3" i="1"/>
  <c r="AC3" i="1"/>
  <c r="AF3" i="1"/>
  <c r="AG3" i="1"/>
  <c r="AJ3" i="1"/>
  <c r="AK3" i="1"/>
  <c r="F4" i="1"/>
  <c r="J3" i="1"/>
  <c r="K3" i="1"/>
  <c r="N3" i="1"/>
  <c r="O3" i="1"/>
  <c r="R3" i="1"/>
  <c r="S3" i="1"/>
  <c r="V3" i="1"/>
  <c r="W3" i="1"/>
  <c r="Z3" i="1"/>
  <c r="AA3" i="1"/>
  <c r="AD3" i="1"/>
  <c r="AE3" i="1"/>
  <c r="AH3" i="1"/>
  <c r="AI3" i="1"/>
  <c r="AL3" i="1"/>
  <c r="F5" i="1"/>
  <c r="F22" i="1"/>
  <c r="F20" i="1"/>
  <c r="F18" i="1"/>
  <c r="F14" i="1"/>
  <c r="F9" i="1"/>
  <c r="F8" i="1"/>
  <c r="F7" i="1"/>
  <c r="F6" i="1"/>
  <c r="C28" i="1"/>
  <c r="C27" i="1"/>
  <c r="C26" i="1"/>
  <c r="C25" i="1"/>
  <c r="C24" i="1"/>
  <c r="C23" i="1"/>
  <c r="AN17" i="1" l="1"/>
  <c r="AO17" i="1" s="1"/>
  <c r="H17" i="1" s="1"/>
  <c r="AN16" i="1"/>
  <c r="AO16" i="1" s="1"/>
  <c r="H16" i="1" s="1"/>
  <c r="AN14" i="1"/>
  <c r="AO14" i="1" s="1"/>
  <c r="H14" i="1" s="1"/>
  <c r="AN15" i="1"/>
  <c r="AO15" i="1" s="1"/>
  <c r="H15" i="1" s="1"/>
  <c r="AN18" i="1"/>
  <c r="AO18" i="1" s="1"/>
  <c r="H5" i="1"/>
  <c r="AM3" i="1"/>
  <c r="F3" i="1" s="1"/>
  <c r="H4" i="1"/>
  <c r="H18" i="1"/>
  <c r="G22" i="1"/>
  <c r="G12" i="1"/>
  <c r="G21" i="1"/>
  <c r="G9" i="1"/>
  <c r="G20" i="1"/>
  <c r="G8" i="1"/>
  <c r="G7" i="1"/>
  <c r="H22" i="1"/>
  <c r="H6" i="1"/>
  <c r="H21" i="1"/>
  <c r="H9" i="1"/>
  <c r="H8" i="1"/>
  <c r="H20" i="1"/>
  <c r="H12" i="1"/>
  <c r="H7" i="1"/>
  <c r="G16" i="1" l="1"/>
  <c r="G14" i="1"/>
  <c r="G15" i="1"/>
  <c r="G5" i="1"/>
  <c r="G4" i="1"/>
  <c r="G18" i="1"/>
  <c r="AN3" i="1"/>
  <c r="G17" i="1"/>
  <c r="AO3" i="1" l="1"/>
  <c r="H3" i="1" s="1"/>
  <c r="G3" i="1"/>
</calcChain>
</file>

<file path=xl/sharedStrings.xml><?xml version="1.0" encoding="utf-8"?>
<sst xmlns="http://schemas.openxmlformats.org/spreadsheetml/2006/main" count="185" uniqueCount="106">
  <si>
    <t>项目</t>
  </si>
  <si>
    <t>项目明细</t>
  </si>
  <si>
    <t>单位</t>
  </si>
  <si>
    <t>目标单耗</t>
  </si>
  <si>
    <t>当日单耗</t>
  </si>
  <si>
    <t>月累计单耗</t>
  </si>
  <si>
    <t>年累计单耗</t>
  </si>
  <si>
    <t>日常消耗明细</t>
  </si>
  <si>
    <t>月累计</t>
  </si>
  <si>
    <t>年累计</t>
  </si>
  <si>
    <t>原料</t>
  </si>
  <si>
    <t>原料A使用情况</t>
  </si>
  <si>
    <t>t</t>
  </si>
  <si>
    <t>原料A/总产品（t/t）</t>
  </si>
  <si>
    <t>/</t>
  </si>
  <si>
    <t>腐蚀性介质使用情况</t>
  </si>
  <si>
    <t>腐蚀性介质/产品B（t/t）</t>
  </si>
  <si>
    <t>有毒性介质使用情况</t>
  </si>
  <si>
    <t>有毒性介质/产品B（t/t）</t>
  </si>
  <si>
    <t>辅料</t>
  </si>
  <si>
    <t>产品A辅料</t>
  </si>
  <si>
    <t>kg</t>
  </si>
  <si>
    <t>产品A辅料/产品A（t/t）</t>
  </si>
  <si>
    <t>产品B辅料</t>
  </si>
  <si>
    <t>产品B辅料/产品B（t/t）</t>
  </si>
  <si>
    <t>产品</t>
  </si>
  <si>
    <t>产品A</t>
  </si>
  <si>
    <t>产品B</t>
  </si>
  <si>
    <t>能耗物耗</t>
  </si>
  <si>
    <t>总热源</t>
  </si>
  <si>
    <t>废液B处理热源量</t>
  </si>
  <si>
    <t>工艺水B</t>
  </si>
  <si>
    <t>工艺水B/总产品(t/t)</t>
  </si>
  <si>
    <t>工艺水A</t>
  </si>
  <si>
    <t>工艺水A/总产品(t/t)</t>
  </si>
  <si>
    <t>电量</t>
  </si>
  <si>
    <t>kwh</t>
  </si>
  <si>
    <t>电/总产品(kwh/t)</t>
  </si>
  <si>
    <t>动力风</t>
  </si>
  <si>
    <t>Nm³</t>
  </si>
  <si>
    <t>动力风/总产品(Nm³/t)</t>
  </si>
  <si>
    <t>保护气</t>
  </si>
  <si>
    <t>保护气/总产品(Nm³/t)</t>
  </si>
  <si>
    <t>三废处理</t>
  </si>
  <si>
    <t>雨水</t>
  </si>
  <si>
    <t>废液A转移量</t>
  </si>
  <si>
    <t>废液A转移量/总产品（t/t）</t>
  </si>
  <si>
    <t>废液B排放</t>
  </si>
  <si>
    <t>产品B母液/产品B（t/t）</t>
  </si>
  <si>
    <t>废渣</t>
  </si>
  <si>
    <t>废渣/总产品(t/t)</t>
  </si>
  <si>
    <t>上月期末产品A系统库存</t>
  </si>
  <si>
    <t>折合产品A（吨）</t>
  </si>
  <si>
    <t>上月期末产品B系统库存</t>
  </si>
  <si>
    <t>折合产品B（吨）</t>
  </si>
  <si>
    <t>昨日早晨7：30产品A系统库存</t>
  </si>
  <si>
    <t>昨日早晨7：30产品B系统库存</t>
  </si>
  <si>
    <t>当日早晨7：30产品A系统库存</t>
  </si>
  <si>
    <t>当日早晨7：30产品B系统库存</t>
  </si>
  <si>
    <t>在制品系统库存</t>
  </si>
  <si>
    <t>设备名称</t>
  </si>
  <si>
    <t>上月末库存（t）</t>
  </si>
  <si>
    <t>昨日早晨7：30库存（t）</t>
  </si>
  <si>
    <t>今日早晨7：30库存（t）</t>
  </si>
  <si>
    <t>原料A罐</t>
  </si>
  <si>
    <t>产品B提纯单元（折产品B）</t>
  </si>
  <si>
    <t>产品A提纯单元（折产品A）</t>
  </si>
  <si>
    <t>产品A处理单元（折产品A）</t>
  </si>
  <si>
    <t>产品B处理单元（折产品B）</t>
  </si>
  <si>
    <t>产品A洗涤单元（折产品A）</t>
  </si>
  <si>
    <t>产品B转化单元（折产品B）</t>
  </si>
  <si>
    <t>产品B浓缩单元（折产品B）</t>
  </si>
  <si>
    <t>产品B洗涤单元（折产品B）</t>
  </si>
  <si>
    <t>腐蚀性供料槽</t>
  </si>
  <si>
    <t>流量计抄表记录</t>
  </si>
  <si>
    <t>品名</t>
  </si>
  <si>
    <t>有毒性罐区</t>
  </si>
  <si>
    <t>有毒性一号罐（应急罐，常空）</t>
  </si>
  <si>
    <t>有毒性二号罐液位</t>
  </si>
  <si>
    <t>有毒性三号罐液位</t>
  </si>
  <si>
    <t>腐蚀性罐区</t>
  </si>
  <si>
    <t>腐蚀性一号罐液位</t>
  </si>
  <si>
    <t>腐蚀性二号罐液位</t>
  </si>
  <si>
    <t>原料A累计接收流量计数据</t>
  </si>
  <si>
    <t>原料A使用量</t>
  </si>
  <si>
    <t>热源</t>
  </si>
  <si>
    <t>热源流量计读数</t>
  </si>
  <si>
    <t>工艺水B流量计读数</t>
  </si>
  <si>
    <t>工艺水A流量计读数</t>
  </si>
  <si>
    <t>电表读数</t>
  </si>
  <si>
    <t>动力风流量计读数</t>
  </si>
  <si>
    <t>保护气流量计读数</t>
  </si>
  <si>
    <t>废液A累积</t>
  </si>
  <si>
    <t>废液A累积流量计读数</t>
  </si>
  <si>
    <t>有毒性二号罐库存吨位</t>
  </si>
  <si>
    <t>有毒性三号罐库存吨位</t>
  </si>
  <si>
    <t>腐蚀性一号罐库存吨位</t>
  </si>
  <si>
    <t>腐蚀性二号罐库存吨位</t>
  </si>
  <si>
    <t>原料A（生产产品A用）</t>
    <phoneticPr fontId="1" type="noConversion"/>
  </si>
  <si>
    <t>原料A/产品A（t/t）</t>
    <phoneticPr fontId="1" type="noConversion"/>
  </si>
  <si>
    <t>原料A（生产产品B用）</t>
    <phoneticPr fontId="1" type="noConversion"/>
  </si>
  <si>
    <t>原料A/产品B（t/t）</t>
    <phoneticPr fontId="1" type="noConversion"/>
  </si>
  <si>
    <t>热源/总产品(t/t)</t>
    <phoneticPr fontId="1" type="noConversion"/>
  </si>
  <si>
    <t>t</t>
    <phoneticPr fontId="1" type="noConversion"/>
  </si>
  <si>
    <t>原料A（生产产品A用）</t>
    <phoneticPr fontId="1" type="noConversion"/>
  </si>
  <si>
    <t>原料A（生产产品B用）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</si>
</sst>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40"/>
  <sheetViews>
    <sheetView tabSelected="1" workbookViewId="0">
      <selection activeCell="E9" sqref="E9"/>
    </sheetView>
  </sheetViews>
  <sheetFormatPr defaultRowHeight="14.25" x14ac:dyDescent="0.2"/>
  <cols>
    <col min="1" max="1" width="28.125" style="1" bestFit="1" customWidth="1"/>
    <col min="2" max="2" width="22" style="1" bestFit="1" customWidth="1"/>
    <col min="3" max="3" width="5.25" style="1" bestFit="1" customWidth="1"/>
    <col min="4" max="4" width="25.875" style="1" bestFit="1" customWidth="1"/>
    <col min="5" max="5" width="22.5" style="1" customWidth="1"/>
    <col min="6" max="6" width="9" style="1" bestFit="1" customWidth="1"/>
    <col min="7" max="7" width="11" style="1" bestFit="1" customWidth="1"/>
    <col min="8" max="8" width="14" style="1" bestFit="1" customWidth="1"/>
    <col min="9" max="17" width="9.5" style="1" bestFit="1" customWidth="1"/>
    <col min="18" max="39" width="10.5" style="1" bestFit="1" customWidth="1"/>
    <col min="40" max="41" width="9.125" style="1" bestFit="1" customWidth="1"/>
    <col min="42" max="42" width="12.375" style="1" bestFit="1" customWidth="1"/>
    <col min="43" max="43" width="29.625" style="1" bestFit="1" customWidth="1"/>
    <col min="44" max="52" width="9.5" style="1" bestFit="1" customWidth="1"/>
    <col min="53" max="74" width="10.5" style="1" bestFit="1" customWidth="1"/>
    <col min="75" max="75" width="9.5" style="1" bestFit="1" customWidth="1"/>
    <col min="76" max="16384" width="9" style="1"/>
  </cols>
  <sheetData>
    <row r="1" spans="1:75" x14ac:dyDescent="0.2">
      <c r="A1" s="9" t="s">
        <v>0</v>
      </c>
      <c r="B1" s="9" t="s">
        <v>1</v>
      </c>
      <c r="C1" s="9" t="s">
        <v>2</v>
      </c>
      <c r="D1" s="9" t="s">
        <v>3</v>
      </c>
      <c r="E1" s="9"/>
      <c r="F1" s="9" t="s">
        <v>4</v>
      </c>
      <c r="G1" s="9" t="s">
        <v>5</v>
      </c>
      <c r="H1" s="9" t="s">
        <v>6</v>
      </c>
      <c r="I1" s="9" t="s">
        <v>7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2" t="s">
        <v>8</v>
      </c>
      <c r="AO1" s="3" t="s">
        <v>9</v>
      </c>
      <c r="AP1" s="10" t="s">
        <v>74</v>
      </c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2"/>
    </row>
    <row r="2" spans="1:75" x14ac:dyDescent="0.2">
      <c r="A2" s="9"/>
      <c r="B2" s="9"/>
      <c r="C2" s="9"/>
      <c r="D2" s="9"/>
      <c r="E2" s="9"/>
      <c r="F2" s="9"/>
      <c r="G2" s="9"/>
      <c r="H2" s="9"/>
      <c r="I2" s="4">
        <v>45658</v>
      </c>
      <c r="J2" s="4">
        <v>45659</v>
      </c>
      <c r="K2" s="4">
        <v>45660</v>
      </c>
      <c r="L2" s="4">
        <v>45661</v>
      </c>
      <c r="M2" s="4">
        <v>45662</v>
      </c>
      <c r="N2" s="4">
        <v>45663</v>
      </c>
      <c r="O2" s="4">
        <v>45664</v>
      </c>
      <c r="P2" s="4">
        <v>45665</v>
      </c>
      <c r="Q2" s="4">
        <v>45666</v>
      </c>
      <c r="R2" s="4">
        <v>45667</v>
      </c>
      <c r="S2" s="4">
        <v>45668</v>
      </c>
      <c r="T2" s="4">
        <v>45669</v>
      </c>
      <c r="U2" s="4">
        <v>45670</v>
      </c>
      <c r="V2" s="4">
        <v>45671</v>
      </c>
      <c r="W2" s="4">
        <v>45672</v>
      </c>
      <c r="X2" s="4">
        <v>45673</v>
      </c>
      <c r="Y2" s="4">
        <v>45674</v>
      </c>
      <c r="Z2" s="4">
        <v>45675</v>
      </c>
      <c r="AA2" s="4">
        <v>45676</v>
      </c>
      <c r="AB2" s="4">
        <v>45677</v>
      </c>
      <c r="AC2" s="4">
        <v>45678</v>
      </c>
      <c r="AD2" s="4">
        <v>45679</v>
      </c>
      <c r="AE2" s="4">
        <v>45680</v>
      </c>
      <c r="AF2" s="4">
        <v>45681</v>
      </c>
      <c r="AG2" s="4">
        <v>45682</v>
      </c>
      <c r="AH2" s="4">
        <v>45683</v>
      </c>
      <c r="AI2" s="4">
        <v>45684</v>
      </c>
      <c r="AJ2" s="4">
        <v>45685</v>
      </c>
      <c r="AK2" s="4">
        <v>45686</v>
      </c>
      <c r="AL2" s="4">
        <v>45687</v>
      </c>
      <c r="AM2" s="4">
        <v>45688</v>
      </c>
      <c r="AN2" s="2" t="s">
        <v>14</v>
      </c>
      <c r="AO2" s="2" t="s">
        <v>14</v>
      </c>
      <c r="AP2" s="2" t="s">
        <v>75</v>
      </c>
      <c r="AQ2" s="2"/>
      <c r="AR2" s="4">
        <v>45658</v>
      </c>
      <c r="AS2" s="4">
        <v>45659</v>
      </c>
      <c r="AT2" s="4">
        <v>45660</v>
      </c>
      <c r="AU2" s="4">
        <v>45661</v>
      </c>
      <c r="AV2" s="4">
        <v>45662</v>
      </c>
      <c r="AW2" s="4">
        <v>45663</v>
      </c>
      <c r="AX2" s="4">
        <v>45664</v>
      </c>
      <c r="AY2" s="4">
        <v>45665</v>
      </c>
      <c r="AZ2" s="4">
        <v>45666</v>
      </c>
      <c r="BA2" s="4">
        <v>45667</v>
      </c>
      <c r="BB2" s="4">
        <v>45668</v>
      </c>
      <c r="BC2" s="4">
        <v>45669</v>
      </c>
      <c r="BD2" s="4">
        <v>45670</v>
      </c>
      <c r="BE2" s="4">
        <v>45671</v>
      </c>
      <c r="BF2" s="4">
        <v>45672</v>
      </c>
      <c r="BG2" s="4">
        <v>45673</v>
      </c>
      <c r="BH2" s="4">
        <v>45674</v>
      </c>
      <c r="BI2" s="4">
        <v>45675</v>
      </c>
      <c r="BJ2" s="4">
        <v>45676</v>
      </c>
      <c r="BK2" s="4">
        <v>45677</v>
      </c>
      <c r="BL2" s="4">
        <v>45678</v>
      </c>
      <c r="BM2" s="4">
        <v>45679</v>
      </c>
      <c r="BN2" s="4">
        <v>45680</v>
      </c>
      <c r="BO2" s="4">
        <v>45681</v>
      </c>
      <c r="BP2" s="4">
        <v>45682</v>
      </c>
      <c r="BQ2" s="4">
        <v>45683</v>
      </c>
      <c r="BR2" s="4">
        <v>45684</v>
      </c>
      <c r="BS2" s="4">
        <v>45685</v>
      </c>
      <c r="BT2" s="4">
        <v>45686</v>
      </c>
      <c r="BU2" s="4">
        <v>45687</v>
      </c>
      <c r="BV2" s="4">
        <v>45688</v>
      </c>
      <c r="BW2" s="4">
        <v>45689</v>
      </c>
    </row>
    <row r="3" spans="1:75" x14ac:dyDescent="0.2">
      <c r="A3" s="9" t="s">
        <v>10</v>
      </c>
      <c r="B3" s="2" t="s">
        <v>11</v>
      </c>
      <c r="C3" s="2" t="s">
        <v>12</v>
      </c>
      <c r="D3" s="2" t="s">
        <v>13</v>
      </c>
      <c r="E3" s="2">
        <v>1.21</v>
      </c>
      <c r="F3" s="6">
        <f>AM3/(AM10+AM11)</f>
        <v>1.182089552238806</v>
      </c>
      <c r="G3" s="6">
        <f>AN3/(AN10+AN11)</f>
        <v>1.1848731450454761</v>
      </c>
      <c r="H3" s="6">
        <f>AO3/(AO10+AO11)</f>
        <v>1.1848731450454761</v>
      </c>
      <c r="I3" s="2">
        <f>I4+I5</f>
        <v>7.71</v>
      </c>
      <c r="J3" s="2">
        <f t="shared" ref="J3:AM3" si="0">J4+J5</f>
        <v>8.34</v>
      </c>
      <c r="K3" s="2">
        <f t="shared" si="0"/>
        <v>7.78</v>
      </c>
      <c r="L3" s="2">
        <f t="shared" si="0"/>
        <v>7.7099999999999991</v>
      </c>
      <c r="M3" s="2">
        <f t="shared" si="0"/>
        <v>8.23</v>
      </c>
      <c r="N3" s="2">
        <f t="shared" si="0"/>
        <v>8.19</v>
      </c>
      <c r="O3" s="2">
        <f t="shared" si="0"/>
        <v>7.9499999999999993</v>
      </c>
      <c r="P3" s="2">
        <f t="shared" si="0"/>
        <v>8.06</v>
      </c>
      <c r="Q3" s="2">
        <f t="shared" si="0"/>
        <v>7.89</v>
      </c>
      <c r="R3" s="2">
        <f t="shared" si="0"/>
        <v>7.84</v>
      </c>
      <c r="S3" s="2">
        <f t="shared" si="0"/>
        <v>7.8000000000000007</v>
      </c>
      <c r="T3" s="2">
        <f t="shared" si="0"/>
        <v>7.77</v>
      </c>
      <c r="U3" s="2">
        <f t="shared" si="0"/>
        <v>8.27</v>
      </c>
      <c r="V3" s="2">
        <f t="shared" si="0"/>
        <v>7.7799999999999994</v>
      </c>
      <c r="W3" s="2">
        <f t="shared" si="0"/>
        <v>7.94</v>
      </c>
      <c r="X3" s="2">
        <f t="shared" si="0"/>
        <v>8.08</v>
      </c>
      <c r="Y3" s="2">
        <f t="shared" si="0"/>
        <v>7.8699999999999992</v>
      </c>
      <c r="Z3" s="2">
        <f t="shared" si="0"/>
        <v>7.9499999999999993</v>
      </c>
      <c r="AA3" s="2">
        <f t="shared" si="0"/>
        <v>8.01</v>
      </c>
      <c r="AB3" s="2">
        <f t="shared" si="0"/>
        <v>7.98</v>
      </c>
      <c r="AC3" s="2">
        <f t="shared" si="0"/>
        <v>8.129999999999999</v>
      </c>
      <c r="AD3" s="2">
        <f t="shared" si="0"/>
        <v>8.09</v>
      </c>
      <c r="AE3" s="2">
        <f t="shared" si="0"/>
        <v>8.02</v>
      </c>
      <c r="AF3" s="2">
        <f t="shared" si="0"/>
        <v>8</v>
      </c>
      <c r="AG3" s="2">
        <f t="shared" si="0"/>
        <v>8.25</v>
      </c>
      <c r="AH3" s="2">
        <f t="shared" si="0"/>
        <v>8.2799999999999994</v>
      </c>
      <c r="AI3" s="2">
        <f t="shared" si="0"/>
        <v>8.1999999999999993</v>
      </c>
      <c r="AJ3" s="2">
        <f t="shared" si="0"/>
        <v>7.8599999999999994</v>
      </c>
      <c r="AK3" s="2">
        <f t="shared" si="0"/>
        <v>7.77</v>
      </c>
      <c r="AL3" s="2">
        <f t="shared" si="0"/>
        <v>7.85</v>
      </c>
      <c r="AM3" s="2">
        <f t="shared" si="0"/>
        <v>7.92</v>
      </c>
      <c r="AN3" s="2">
        <f>SUM(I3:AM3)</f>
        <v>247.51999999999995</v>
      </c>
      <c r="AO3" s="3">
        <f>AN3</f>
        <v>247.51999999999995</v>
      </c>
      <c r="AP3" s="13" t="s">
        <v>76</v>
      </c>
      <c r="AQ3" s="2" t="s">
        <v>77</v>
      </c>
      <c r="AR3" s="2" t="s">
        <v>14</v>
      </c>
      <c r="AS3" s="2" t="s">
        <v>14</v>
      </c>
      <c r="AT3" s="2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Y3" s="2" t="s">
        <v>14</v>
      </c>
      <c r="AZ3" s="2" t="s">
        <v>14</v>
      </c>
      <c r="BA3" s="2" t="s">
        <v>14</v>
      </c>
      <c r="BB3" s="2" t="s">
        <v>14</v>
      </c>
      <c r="BC3" s="2" t="s">
        <v>14</v>
      </c>
      <c r="BD3" s="2" t="s">
        <v>14</v>
      </c>
      <c r="BE3" s="2" t="s">
        <v>14</v>
      </c>
      <c r="BF3" s="2" t="s">
        <v>14</v>
      </c>
      <c r="BG3" s="2" t="s">
        <v>14</v>
      </c>
      <c r="BH3" s="2" t="s">
        <v>14</v>
      </c>
      <c r="BI3" s="2" t="s">
        <v>14</v>
      </c>
      <c r="BJ3" s="2" t="s">
        <v>14</v>
      </c>
      <c r="BK3" s="2" t="s">
        <v>14</v>
      </c>
      <c r="BL3" s="2" t="s">
        <v>14</v>
      </c>
      <c r="BM3" s="2" t="s">
        <v>14</v>
      </c>
      <c r="BN3" s="2" t="s">
        <v>14</v>
      </c>
      <c r="BO3" s="2" t="s">
        <v>14</v>
      </c>
      <c r="BP3" s="2" t="s">
        <v>14</v>
      </c>
      <c r="BQ3" s="2" t="s">
        <v>14</v>
      </c>
      <c r="BR3" s="2" t="s">
        <v>14</v>
      </c>
      <c r="BS3" s="2" t="s">
        <v>14</v>
      </c>
      <c r="BT3" s="2" t="s">
        <v>14</v>
      </c>
      <c r="BU3" s="2" t="s">
        <v>14</v>
      </c>
      <c r="BV3" s="2" t="s">
        <v>14</v>
      </c>
      <c r="BW3" s="2" t="s">
        <v>14</v>
      </c>
    </row>
    <row r="4" spans="1:75" x14ac:dyDescent="0.2">
      <c r="A4" s="9"/>
      <c r="B4" s="2" t="s">
        <v>98</v>
      </c>
      <c r="C4" s="2" t="s">
        <v>12</v>
      </c>
      <c r="D4" s="2" t="s">
        <v>99</v>
      </c>
      <c r="E4" s="2">
        <v>1.18</v>
      </c>
      <c r="F4" s="6">
        <f t="shared" ref="F4:H5" si="1">AM4/AM10</f>
        <v>1.121875</v>
      </c>
      <c r="G4" s="6">
        <f t="shared" si="1"/>
        <v>1.1086190009794319</v>
      </c>
      <c r="H4" s="6">
        <f t="shared" si="1"/>
        <v>1.1086190009794319</v>
      </c>
      <c r="I4" s="2">
        <f>AS9</f>
        <v>4.42</v>
      </c>
      <c r="J4" s="2">
        <f t="shared" ref="J4:AM4" si="2">AT9</f>
        <v>2.75</v>
      </c>
      <c r="K4" s="2">
        <f t="shared" si="2"/>
        <v>4.45</v>
      </c>
      <c r="L4" s="2">
        <f t="shared" si="2"/>
        <v>4.43</v>
      </c>
      <c r="M4" s="2">
        <f t="shared" si="2"/>
        <v>2.71</v>
      </c>
      <c r="N4" s="2">
        <f t="shared" si="2"/>
        <v>2.69</v>
      </c>
      <c r="O4" s="2">
        <f t="shared" si="2"/>
        <v>4.59</v>
      </c>
      <c r="P4" s="2">
        <f t="shared" si="2"/>
        <v>3.6</v>
      </c>
      <c r="Q4" s="2">
        <f t="shared" si="2"/>
        <v>4.5599999999999996</v>
      </c>
      <c r="R4" s="2">
        <f t="shared" si="2"/>
        <v>4.53</v>
      </c>
      <c r="S4" s="2">
        <f t="shared" si="2"/>
        <v>4.49</v>
      </c>
      <c r="T4" s="2">
        <f t="shared" si="2"/>
        <v>4.41</v>
      </c>
      <c r="U4" s="2">
        <f t="shared" si="2"/>
        <v>2.75</v>
      </c>
      <c r="V4" s="2">
        <f t="shared" si="2"/>
        <v>4.51</v>
      </c>
      <c r="W4" s="2">
        <f t="shared" si="2"/>
        <v>3.58</v>
      </c>
      <c r="X4" s="2">
        <f t="shared" si="2"/>
        <v>2.65</v>
      </c>
      <c r="Y4" s="2">
        <f t="shared" si="2"/>
        <v>3.56</v>
      </c>
      <c r="Z4" s="2">
        <f t="shared" si="2"/>
        <v>3.56</v>
      </c>
      <c r="AA4" s="2">
        <f t="shared" si="2"/>
        <v>3.63</v>
      </c>
      <c r="AB4" s="2">
        <f t="shared" si="2"/>
        <v>3.62</v>
      </c>
      <c r="AC4" s="2">
        <f t="shared" si="2"/>
        <v>2.74</v>
      </c>
      <c r="AD4" s="2">
        <f t="shared" si="2"/>
        <v>2.66</v>
      </c>
      <c r="AE4" s="2">
        <f t="shared" si="2"/>
        <v>3.58</v>
      </c>
      <c r="AF4" s="2">
        <f t="shared" si="2"/>
        <v>3.55</v>
      </c>
      <c r="AG4" s="2">
        <f t="shared" si="2"/>
        <v>2.73</v>
      </c>
      <c r="AH4" s="2">
        <f t="shared" si="2"/>
        <v>2.69</v>
      </c>
      <c r="AI4" s="2">
        <f t="shared" si="2"/>
        <v>2.67</v>
      </c>
      <c r="AJ4" s="2">
        <f t="shared" si="2"/>
        <v>4.51</v>
      </c>
      <c r="AK4" s="2">
        <f t="shared" si="2"/>
        <v>4.42</v>
      </c>
      <c r="AL4" s="2">
        <f t="shared" si="2"/>
        <v>4.5599999999999996</v>
      </c>
      <c r="AM4" s="2">
        <f t="shared" si="2"/>
        <v>3.59</v>
      </c>
      <c r="AN4" s="2">
        <f t="shared" ref="AN4:AN22" si="3">SUM(I4:AM4)</f>
        <v>113.19000000000001</v>
      </c>
      <c r="AO4" s="3">
        <f t="shared" ref="AO4:AO22" si="4">AN4</f>
        <v>113.19000000000001</v>
      </c>
      <c r="AP4" s="14"/>
      <c r="AQ4" s="2" t="s">
        <v>78</v>
      </c>
      <c r="AR4" s="8">
        <v>74.239999999999995</v>
      </c>
      <c r="AS4" s="8">
        <v>71.430000000000007</v>
      </c>
      <c r="AT4" s="8">
        <v>66.53</v>
      </c>
      <c r="AU4" s="8">
        <v>63.65</v>
      </c>
      <c r="AV4" s="8">
        <v>60.87</v>
      </c>
      <c r="AW4" s="8">
        <v>56.12</v>
      </c>
      <c r="AX4" s="8">
        <v>56.12</v>
      </c>
      <c r="AY4" s="8">
        <v>53.24</v>
      </c>
      <c r="AZ4" s="8">
        <v>53.24</v>
      </c>
      <c r="BA4" s="8">
        <v>50.26</v>
      </c>
      <c r="BB4" s="8">
        <v>50.26</v>
      </c>
      <c r="BC4" s="8">
        <v>47.4</v>
      </c>
      <c r="BD4" s="8">
        <v>47.4</v>
      </c>
      <c r="BE4" s="8">
        <v>42.8</v>
      </c>
      <c r="BF4" s="8">
        <v>42.8</v>
      </c>
      <c r="BG4" s="8">
        <v>42.8</v>
      </c>
      <c r="BH4" s="8">
        <v>37.979999999999997</v>
      </c>
      <c r="BI4" s="8">
        <v>37.979999999999997</v>
      </c>
      <c r="BJ4" s="8">
        <v>34.130000000000003</v>
      </c>
      <c r="BK4" s="8">
        <v>34.130000000000003</v>
      </c>
      <c r="BL4" s="8">
        <v>30.39</v>
      </c>
      <c r="BM4" s="8">
        <v>30.39</v>
      </c>
      <c r="BN4" s="8">
        <v>30.39</v>
      </c>
      <c r="BO4" s="8">
        <v>30.39</v>
      </c>
      <c r="BP4" s="8">
        <v>30.39</v>
      </c>
      <c r="BQ4" s="8">
        <v>30.39</v>
      </c>
      <c r="BR4" s="8">
        <v>30.39</v>
      </c>
      <c r="BS4" s="8">
        <v>30.39</v>
      </c>
      <c r="BT4" s="8">
        <v>30.39</v>
      </c>
      <c r="BU4" s="8">
        <v>30.39</v>
      </c>
      <c r="BV4" s="8">
        <v>30.39</v>
      </c>
      <c r="BW4" s="8">
        <v>30.39</v>
      </c>
    </row>
    <row r="5" spans="1:75" x14ac:dyDescent="0.2">
      <c r="A5" s="9"/>
      <c r="B5" s="2" t="s">
        <v>100</v>
      </c>
      <c r="C5" s="2" t="s">
        <v>12</v>
      </c>
      <c r="D5" s="2" t="s">
        <v>101</v>
      </c>
      <c r="E5" s="2">
        <v>1.27</v>
      </c>
      <c r="F5" s="6">
        <f t="shared" si="1"/>
        <v>1.2371428571428571</v>
      </c>
      <c r="G5" s="6">
        <f t="shared" si="1"/>
        <v>1.2577715355805241</v>
      </c>
      <c r="H5" s="6">
        <f t="shared" si="1"/>
        <v>1.2577715355805241</v>
      </c>
      <c r="I5" s="2">
        <f>AS10</f>
        <v>3.29</v>
      </c>
      <c r="J5" s="2">
        <f t="shared" ref="J5:AM5" si="5">AT10</f>
        <v>5.59</v>
      </c>
      <c r="K5" s="2">
        <f t="shared" si="5"/>
        <v>3.33</v>
      </c>
      <c r="L5" s="2">
        <f t="shared" si="5"/>
        <v>3.28</v>
      </c>
      <c r="M5" s="2">
        <f t="shared" si="5"/>
        <v>5.52</v>
      </c>
      <c r="N5" s="2">
        <f t="shared" si="5"/>
        <v>5.5</v>
      </c>
      <c r="O5" s="2">
        <f t="shared" si="5"/>
        <v>3.36</v>
      </c>
      <c r="P5" s="2">
        <f t="shared" si="5"/>
        <v>4.46</v>
      </c>
      <c r="Q5" s="2">
        <f t="shared" si="5"/>
        <v>3.33</v>
      </c>
      <c r="R5" s="2">
        <f t="shared" si="5"/>
        <v>3.31</v>
      </c>
      <c r="S5" s="2">
        <f t="shared" si="5"/>
        <v>3.31</v>
      </c>
      <c r="T5" s="2">
        <f t="shared" si="5"/>
        <v>3.36</v>
      </c>
      <c r="U5" s="2">
        <f t="shared" si="5"/>
        <v>5.52</v>
      </c>
      <c r="V5" s="2">
        <f t="shared" si="5"/>
        <v>3.27</v>
      </c>
      <c r="W5" s="2">
        <f t="shared" si="5"/>
        <v>4.3600000000000003</v>
      </c>
      <c r="X5" s="2">
        <f t="shared" si="5"/>
        <v>5.43</v>
      </c>
      <c r="Y5" s="2">
        <f t="shared" si="5"/>
        <v>4.3099999999999996</v>
      </c>
      <c r="Z5" s="2">
        <f t="shared" si="5"/>
        <v>4.3899999999999997</v>
      </c>
      <c r="AA5" s="2">
        <f t="shared" si="5"/>
        <v>4.38</v>
      </c>
      <c r="AB5" s="2">
        <f t="shared" si="5"/>
        <v>4.3600000000000003</v>
      </c>
      <c r="AC5" s="2">
        <f t="shared" si="5"/>
        <v>5.39</v>
      </c>
      <c r="AD5" s="2">
        <f t="shared" si="5"/>
        <v>5.43</v>
      </c>
      <c r="AE5" s="2">
        <f t="shared" si="5"/>
        <v>4.4400000000000004</v>
      </c>
      <c r="AF5" s="2">
        <f t="shared" si="5"/>
        <v>4.45</v>
      </c>
      <c r="AG5" s="2">
        <f t="shared" si="5"/>
        <v>5.52</v>
      </c>
      <c r="AH5" s="2">
        <f t="shared" si="5"/>
        <v>5.59</v>
      </c>
      <c r="AI5" s="2">
        <f t="shared" si="5"/>
        <v>5.53</v>
      </c>
      <c r="AJ5" s="2">
        <f t="shared" si="5"/>
        <v>3.35</v>
      </c>
      <c r="AK5" s="2">
        <f t="shared" si="5"/>
        <v>3.35</v>
      </c>
      <c r="AL5" s="2">
        <f t="shared" si="5"/>
        <v>3.29</v>
      </c>
      <c r="AM5" s="2">
        <f t="shared" si="5"/>
        <v>4.33</v>
      </c>
      <c r="AN5" s="2">
        <f t="shared" si="3"/>
        <v>134.32999999999998</v>
      </c>
      <c r="AO5" s="3">
        <f t="shared" si="4"/>
        <v>134.32999999999998</v>
      </c>
      <c r="AP5" s="15"/>
      <c r="AQ5" s="2" t="s">
        <v>79</v>
      </c>
      <c r="AR5" s="8">
        <v>60.28</v>
      </c>
      <c r="AS5" s="8">
        <v>60.28</v>
      </c>
      <c r="AT5" s="8">
        <v>60.28</v>
      </c>
      <c r="AU5" s="8">
        <v>60.28</v>
      </c>
      <c r="AV5" s="8">
        <v>60.28</v>
      </c>
      <c r="AW5" s="8">
        <v>60.28</v>
      </c>
      <c r="AX5" s="8">
        <v>55.52</v>
      </c>
      <c r="AY5" s="8">
        <v>55.52</v>
      </c>
      <c r="AZ5" s="8">
        <v>51.66</v>
      </c>
      <c r="BA5" s="8">
        <v>51.66</v>
      </c>
      <c r="BB5" s="8">
        <v>48.85</v>
      </c>
      <c r="BC5" s="8">
        <v>48.85</v>
      </c>
      <c r="BD5" s="8">
        <v>45.96</v>
      </c>
      <c r="BE5" s="8">
        <v>45.96</v>
      </c>
      <c r="BF5" s="8">
        <v>43.14</v>
      </c>
      <c r="BG5" s="8">
        <v>39.31</v>
      </c>
      <c r="BH5" s="8">
        <v>39.31</v>
      </c>
      <c r="BI5" s="8">
        <v>35.65</v>
      </c>
      <c r="BJ5" s="8">
        <v>35.65</v>
      </c>
      <c r="BK5" s="8">
        <v>31.92</v>
      </c>
      <c r="BL5" s="8">
        <v>31.92</v>
      </c>
      <c r="BM5" s="8">
        <v>57.44</v>
      </c>
      <c r="BN5" s="8">
        <v>52.76</v>
      </c>
      <c r="BO5" s="8">
        <v>48.97</v>
      </c>
      <c r="BP5" s="8">
        <v>45.2</v>
      </c>
      <c r="BQ5" s="8">
        <v>40.36</v>
      </c>
      <c r="BR5" s="8">
        <v>35.409999999999997</v>
      </c>
      <c r="BS5" s="8">
        <v>30.59</v>
      </c>
      <c r="BT5" s="8">
        <v>57.5</v>
      </c>
      <c r="BU5" s="8">
        <v>54.58</v>
      </c>
      <c r="BV5" s="8">
        <v>51.77</v>
      </c>
      <c r="BW5" s="8">
        <v>47.91</v>
      </c>
    </row>
    <row r="6" spans="1:75" x14ac:dyDescent="0.2">
      <c r="A6" s="9"/>
      <c r="B6" s="2" t="s">
        <v>15</v>
      </c>
      <c r="C6" s="2" t="s">
        <v>12</v>
      </c>
      <c r="D6" s="2" t="s">
        <v>16</v>
      </c>
      <c r="E6" s="2">
        <v>1.08</v>
      </c>
      <c r="F6" s="6">
        <f>AM6/AM11</f>
        <v>1.0771428571428572</v>
      </c>
      <c r="G6" s="6">
        <f>AN6/AN11</f>
        <v>1.072003745318352</v>
      </c>
      <c r="H6" s="6">
        <f>AO6/AO11</f>
        <v>1.072003745318352</v>
      </c>
      <c r="I6" s="2">
        <v>2.76</v>
      </c>
      <c r="J6" s="2">
        <v>4.84</v>
      </c>
      <c r="K6" s="2">
        <v>2.91</v>
      </c>
      <c r="L6" s="2">
        <v>2.79</v>
      </c>
      <c r="M6" s="2">
        <v>4.59</v>
      </c>
      <c r="N6" s="2">
        <v>4.72</v>
      </c>
      <c r="O6" s="2">
        <v>2.9</v>
      </c>
      <c r="P6" s="2">
        <v>3.68</v>
      </c>
      <c r="Q6" s="2">
        <v>2.87</v>
      </c>
      <c r="R6" s="2">
        <v>2.75</v>
      </c>
      <c r="S6" s="2">
        <v>2.82</v>
      </c>
      <c r="T6" s="2">
        <v>2.89</v>
      </c>
      <c r="U6" s="2">
        <v>4.6900000000000004</v>
      </c>
      <c r="V6" s="2">
        <v>2.77</v>
      </c>
      <c r="W6" s="2">
        <v>3.79</v>
      </c>
      <c r="X6" s="2">
        <v>4.76</v>
      </c>
      <c r="Y6" s="2">
        <v>3.59</v>
      </c>
      <c r="Z6" s="2">
        <v>3.75</v>
      </c>
      <c r="AA6" s="2">
        <v>3.67</v>
      </c>
      <c r="AB6" s="2">
        <v>3.69</v>
      </c>
      <c r="AC6" s="2">
        <v>4.57</v>
      </c>
      <c r="AD6" s="2">
        <v>4.55</v>
      </c>
      <c r="AE6" s="2">
        <v>3.78</v>
      </c>
      <c r="AF6" s="2">
        <v>3.79</v>
      </c>
      <c r="AG6" s="2">
        <v>4.68</v>
      </c>
      <c r="AH6" s="2">
        <v>4.74</v>
      </c>
      <c r="AI6" s="2">
        <v>4.9000000000000004</v>
      </c>
      <c r="AJ6" s="2">
        <v>2.77</v>
      </c>
      <c r="AK6" s="2">
        <v>2.89</v>
      </c>
      <c r="AL6" s="2">
        <v>2.82</v>
      </c>
      <c r="AM6" s="2">
        <v>3.77</v>
      </c>
      <c r="AN6" s="2">
        <f t="shared" si="3"/>
        <v>114.48999999999998</v>
      </c>
      <c r="AO6" s="3">
        <f t="shared" si="4"/>
        <v>114.48999999999998</v>
      </c>
      <c r="AP6" s="13" t="s">
        <v>80</v>
      </c>
      <c r="AQ6" s="2" t="s">
        <v>81</v>
      </c>
      <c r="AR6" s="8">
        <v>70.53</v>
      </c>
      <c r="AS6" s="8">
        <v>68.69</v>
      </c>
      <c r="AT6" s="8">
        <v>65.459999999999994</v>
      </c>
      <c r="AU6" s="8">
        <v>63.52</v>
      </c>
      <c r="AV6" s="8">
        <v>63.52</v>
      </c>
      <c r="AW6" s="8">
        <v>60.46</v>
      </c>
      <c r="AX6" s="8">
        <v>60.46</v>
      </c>
      <c r="AY6" s="8">
        <v>58.53</v>
      </c>
      <c r="AZ6" s="8">
        <v>58.53</v>
      </c>
      <c r="BA6" s="8">
        <v>56.62</v>
      </c>
      <c r="BB6" s="8">
        <v>56.62</v>
      </c>
      <c r="BC6" s="8">
        <v>54.74</v>
      </c>
      <c r="BD6" s="8">
        <v>54.74</v>
      </c>
      <c r="BE6" s="8">
        <v>51.61</v>
      </c>
      <c r="BF6" s="8">
        <v>51.61</v>
      </c>
      <c r="BG6" s="8">
        <v>51.61</v>
      </c>
      <c r="BH6" s="8">
        <v>48.44</v>
      </c>
      <c r="BI6" s="8">
        <v>48.44</v>
      </c>
      <c r="BJ6" s="8">
        <v>45.94</v>
      </c>
      <c r="BK6" s="8">
        <v>45.94</v>
      </c>
      <c r="BL6" s="8">
        <v>43.48</v>
      </c>
      <c r="BM6" s="8">
        <v>43.48</v>
      </c>
      <c r="BN6" s="8">
        <v>40.44</v>
      </c>
      <c r="BO6" s="8">
        <v>40.44</v>
      </c>
      <c r="BP6" s="8">
        <v>37.92</v>
      </c>
      <c r="BQ6" s="8">
        <v>37.92</v>
      </c>
      <c r="BR6" s="8">
        <v>34.76</v>
      </c>
      <c r="BS6" s="8">
        <v>34.76</v>
      </c>
      <c r="BT6" s="8">
        <v>32.909999999999997</v>
      </c>
      <c r="BU6" s="8">
        <v>32.909999999999997</v>
      </c>
      <c r="BV6" s="8">
        <v>31.03</v>
      </c>
      <c r="BW6" s="8">
        <v>49.15</v>
      </c>
    </row>
    <row r="7" spans="1:75" x14ac:dyDescent="0.2">
      <c r="A7" s="9"/>
      <c r="B7" s="2" t="s">
        <v>17</v>
      </c>
      <c r="C7" s="2" t="s">
        <v>12</v>
      </c>
      <c r="D7" s="2" t="s">
        <v>18</v>
      </c>
      <c r="E7" s="2">
        <v>0.72</v>
      </c>
      <c r="F7" s="6">
        <f>AM7/AM11</f>
        <v>0.7142857142857143</v>
      </c>
      <c r="G7" s="6">
        <f>AN7/AN11</f>
        <v>0.70411985018726597</v>
      </c>
      <c r="H7" s="6">
        <f>AO7/AO11</f>
        <v>0.70411985018726597</v>
      </c>
      <c r="I7" s="2">
        <v>1.82</v>
      </c>
      <c r="J7" s="2">
        <v>3.17</v>
      </c>
      <c r="K7" s="2">
        <v>1.87</v>
      </c>
      <c r="L7" s="2">
        <v>1.8</v>
      </c>
      <c r="M7" s="2">
        <v>3.07</v>
      </c>
      <c r="N7" s="2">
        <v>3.08</v>
      </c>
      <c r="O7" s="2">
        <v>1.87</v>
      </c>
      <c r="P7" s="2">
        <v>2.5</v>
      </c>
      <c r="Q7" s="2">
        <v>1.93</v>
      </c>
      <c r="R7" s="2">
        <v>1.82</v>
      </c>
      <c r="S7" s="2">
        <v>1.85</v>
      </c>
      <c r="T7" s="2">
        <v>1.87</v>
      </c>
      <c r="U7" s="2">
        <v>2.98</v>
      </c>
      <c r="V7" s="2">
        <v>1.83</v>
      </c>
      <c r="W7" s="2">
        <v>2.48</v>
      </c>
      <c r="X7" s="2">
        <v>3.12</v>
      </c>
      <c r="Y7" s="2">
        <v>2.37</v>
      </c>
      <c r="Z7" s="2">
        <v>2.4900000000000002</v>
      </c>
      <c r="AA7" s="2">
        <v>2.41</v>
      </c>
      <c r="AB7" s="2">
        <v>2.42</v>
      </c>
      <c r="AC7" s="2">
        <v>3.04</v>
      </c>
      <c r="AD7" s="2">
        <v>3.03</v>
      </c>
      <c r="AE7" s="2">
        <v>2.46</v>
      </c>
      <c r="AF7" s="2">
        <v>2.44</v>
      </c>
      <c r="AG7" s="2">
        <v>3.13</v>
      </c>
      <c r="AH7" s="2">
        <v>3.21</v>
      </c>
      <c r="AI7" s="2">
        <v>3.12</v>
      </c>
      <c r="AJ7" s="2">
        <v>1.81</v>
      </c>
      <c r="AK7" s="2">
        <v>1.89</v>
      </c>
      <c r="AL7" s="2">
        <v>1.82</v>
      </c>
      <c r="AM7" s="2">
        <v>2.5</v>
      </c>
      <c r="AN7" s="2">
        <f t="shared" si="3"/>
        <v>75.2</v>
      </c>
      <c r="AO7" s="3">
        <f t="shared" si="4"/>
        <v>75.2</v>
      </c>
      <c r="AP7" s="15"/>
      <c r="AQ7" s="2" t="s">
        <v>82</v>
      </c>
      <c r="AR7" s="8">
        <v>65.319999999999993</v>
      </c>
      <c r="AS7" s="8">
        <v>65.319999999999993</v>
      </c>
      <c r="AT7" s="8">
        <v>65.319999999999993</v>
      </c>
      <c r="AU7" s="8">
        <v>65.319999999999993</v>
      </c>
      <c r="AV7" s="8">
        <v>63.46</v>
      </c>
      <c r="AW7" s="8">
        <v>63.46</v>
      </c>
      <c r="AX7" s="8">
        <v>60.31</v>
      </c>
      <c r="AY7" s="8">
        <v>60.31</v>
      </c>
      <c r="AZ7" s="8">
        <v>57.86</v>
      </c>
      <c r="BA7" s="8">
        <v>57.86</v>
      </c>
      <c r="BB7" s="8">
        <v>56.03</v>
      </c>
      <c r="BC7" s="8">
        <v>56.03</v>
      </c>
      <c r="BD7" s="8">
        <v>54.1</v>
      </c>
      <c r="BE7" s="8">
        <v>54.1</v>
      </c>
      <c r="BF7" s="8">
        <v>52.25</v>
      </c>
      <c r="BG7" s="8">
        <v>49.73</v>
      </c>
      <c r="BH7" s="8">
        <v>49.73</v>
      </c>
      <c r="BI7" s="8">
        <v>47.33</v>
      </c>
      <c r="BJ7" s="8">
        <v>47.33</v>
      </c>
      <c r="BK7" s="8">
        <v>44.89</v>
      </c>
      <c r="BL7" s="8">
        <v>44.89</v>
      </c>
      <c r="BM7" s="8">
        <v>41.84</v>
      </c>
      <c r="BN7" s="8">
        <v>41.84</v>
      </c>
      <c r="BO7" s="8">
        <v>39.32</v>
      </c>
      <c r="BP7" s="8">
        <v>39.32</v>
      </c>
      <c r="BQ7" s="8">
        <v>36.200000000000003</v>
      </c>
      <c r="BR7" s="8">
        <v>36.200000000000003</v>
      </c>
      <c r="BS7" s="8">
        <v>32.93</v>
      </c>
      <c r="BT7" s="8">
        <v>32.93</v>
      </c>
      <c r="BU7" s="8">
        <v>31.01</v>
      </c>
      <c r="BV7" s="8">
        <v>31.01</v>
      </c>
      <c r="BW7" s="8">
        <v>31.01</v>
      </c>
    </row>
    <row r="8" spans="1:75" x14ac:dyDescent="0.2">
      <c r="A8" s="9" t="s">
        <v>19</v>
      </c>
      <c r="B8" s="2" t="s">
        <v>20</v>
      </c>
      <c r="C8" s="2" t="s">
        <v>21</v>
      </c>
      <c r="D8" s="2" t="s">
        <v>22</v>
      </c>
      <c r="E8" s="2">
        <v>9.68</v>
      </c>
      <c r="F8" s="6">
        <f>AM8/AM11</f>
        <v>9.1428571428571423</v>
      </c>
      <c r="G8" s="6">
        <f>AN8/AN11</f>
        <v>9.52247191011236</v>
      </c>
      <c r="H8" s="6">
        <f>AO8/AO11</f>
        <v>9.52247191011236</v>
      </c>
      <c r="I8" s="2">
        <v>39</v>
      </c>
      <c r="J8" s="2">
        <v>25</v>
      </c>
      <c r="K8" s="2">
        <v>41</v>
      </c>
      <c r="L8" s="2">
        <v>40</v>
      </c>
      <c r="M8" s="2">
        <v>24</v>
      </c>
      <c r="N8" s="2">
        <v>24</v>
      </c>
      <c r="O8" s="2">
        <v>40</v>
      </c>
      <c r="P8" s="2">
        <v>33</v>
      </c>
      <c r="Q8" s="2">
        <v>42</v>
      </c>
      <c r="R8" s="2">
        <v>41</v>
      </c>
      <c r="S8" s="2">
        <v>40</v>
      </c>
      <c r="T8" s="2">
        <v>39</v>
      </c>
      <c r="U8" s="2">
        <v>24</v>
      </c>
      <c r="V8" s="2">
        <v>41</v>
      </c>
      <c r="W8" s="2">
        <v>32</v>
      </c>
      <c r="X8" s="2">
        <v>24</v>
      </c>
      <c r="Y8" s="2">
        <v>32</v>
      </c>
      <c r="Z8" s="2">
        <v>33</v>
      </c>
      <c r="AA8" s="2">
        <v>33</v>
      </c>
      <c r="AB8" s="2">
        <v>33</v>
      </c>
      <c r="AC8" s="2">
        <v>25</v>
      </c>
      <c r="AD8" s="2">
        <v>24</v>
      </c>
      <c r="AE8" s="2">
        <v>31</v>
      </c>
      <c r="AF8" s="2">
        <v>31</v>
      </c>
      <c r="AG8" s="2">
        <v>24</v>
      </c>
      <c r="AH8" s="2">
        <v>25</v>
      </c>
      <c r="AI8" s="2">
        <v>24</v>
      </c>
      <c r="AJ8" s="2">
        <v>40</v>
      </c>
      <c r="AK8" s="2">
        <v>40</v>
      </c>
      <c r="AL8" s="2">
        <v>41</v>
      </c>
      <c r="AM8" s="2">
        <v>32</v>
      </c>
      <c r="AN8" s="2">
        <f t="shared" si="3"/>
        <v>1017</v>
      </c>
      <c r="AO8" s="3">
        <f t="shared" si="4"/>
        <v>1017</v>
      </c>
      <c r="AP8" s="2" t="s">
        <v>64</v>
      </c>
      <c r="AQ8" s="2" t="s">
        <v>83</v>
      </c>
      <c r="AR8" s="2">
        <v>1802.3</v>
      </c>
      <c r="AS8" s="2">
        <v>1810.01</v>
      </c>
      <c r="AT8" s="2">
        <v>1818.35</v>
      </c>
      <c r="AU8" s="2">
        <v>1826.13</v>
      </c>
      <c r="AV8" s="2">
        <v>1833.84</v>
      </c>
      <c r="AW8" s="2">
        <v>1842.07</v>
      </c>
      <c r="AX8" s="2">
        <v>1850.26</v>
      </c>
      <c r="AY8" s="2">
        <v>1858.21</v>
      </c>
      <c r="AZ8" s="2">
        <v>1866.27</v>
      </c>
      <c r="BA8" s="2">
        <v>1874.16</v>
      </c>
      <c r="BB8" s="2">
        <v>1882</v>
      </c>
      <c r="BC8" s="2">
        <v>1889.8</v>
      </c>
      <c r="BD8" s="2">
        <v>1897.57</v>
      </c>
      <c r="BE8" s="2">
        <v>1905.84</v>
      </c>
      <c r="BF8" s="2">
        <v>1913.62</v>
      </c>
      <c r="BG8" s="2">
        <v>1921.56</v>
      </c>
      <c r="BH8" s="2">
        <v>1929.64</v>
      </c>
      <c r="BI8" s="2">
        <v>1937.51</v>
      </c>
      <c r="BJ8" s="2">
        <v>1945.46</v>
      </c>
      <c r="BK8" s="2">
        <v>1953.47</v>
      </c>
      <c r="BL8" s="2">
        <v>1961.45</v>
      </c>
      <c r="BM8" s="2">
        <v>1969.58</v>
      </c>
      <c r="BN8" s="2">
        <v>1977.67</v>
      </c>
      <c r="BO8" s="2">
        <v>1985.69</v>
      </c>
      <c r="BP8" s="2">
        <v>1993.69</v>
      </c>
      <c r="BQ8" s="2">
        <v>2001.94</v>
      </c>
      <c r="BR8" s="2">
        <v>2010.22</v>
      </c>
      <c r="BS8" s="2">
        <v>2018.42</v>
      </c>
      <c r="BT8" s="2">
        <v>2026.28</v>
      </c>
      <c r="BU8" s="2">
        <v>2034.05</v>
      </c>
      <c r="BV8" s="2">
        <v>2041.9</v>
      </c>
      <c r="BW8" s="2">
        <v>2049.8200000000002</v>
      </c>
    </row>
    <row r="9" spans="1:75" x14ac:dyDescent="0.2">
      <c r="A9" s="9"/>
      <c r="B9" s="2" t="s">
        <v>23</v>
      </c>
      <c r="C9" s="2" t="s">
        <v>21</v>
      </c>
      <c r="D9" s="2" t="s">
        <v>24</v>
      </c>
      <c r="E9" s="2">
        <v>15.08</v>
      </c>
      <c r="F9" s="6">
        <f>AM9/AM11</f>
        <v>14.857142857142858</v>
      </c>
      <c r="G9" s="6">
        <f>AN9/AN11</f>
        <v>14.97191011235955</v>
      </c>
      <c r="H9" s="6">
        <f>AO9/AO11</f>
        <v>14.97191011235955</v>
      </c>
      <c r="I9" s="2">
        <v>39</v>
      </c>
      <c r="J9" s="2">
        <v>68</v>
      </c>
      <c r="K9" s="2">
        <v>40</v>
      </c>
      <c r="L9" s="2">
        <v>39</v>
      </c>
      <c r="M9" s="2">
        <v>65</v>
      </c>
      <c r="N9" s="2">
        <v>66</v>
      </c>
      <c r="O9" s="2">
        <v>41</v>
      </c>
      <c r="P9" s="2">
        <v>53</v>
      </c>
      <c r="Q9" s="2">
        <v>40</v>
      </c>
      <c r="R9" s="2">
        <v>38</v>
      </c>
      <c r="S9" s="2">
        <v>39</v>
      </c>
      <c r="T9" s="2">
        <v>40</v>
      </c>
      <c r="U9" s="2">
        <v>65</v>
      </c>
      <c r="V9" s="2">
        <v>40</v>
      </c>
      <c r="W9" s="2">
        <v>53</v>
      </c>
      <c r="X9" s="2">
        <v>66</v>
      </c>
      <c r="Y9" s="2">
        <v>51</v>
      </c>
      <c r="Z9" s="2">
        <v>52</v>
      </c>
      <c r="AA9" s="2">
        <v>51</v>
      </c>
      <c r="AB9" s="2">
        <v>52</v>
      </c>
      <c r="AC9" s="2">
        <v>64</v>
      </c>
      <c r="AD9" s="2">
        <v>66</v>
      </c>
      <c r="AE9" s="2">
        <v>53</v>
      </c>
      <c r="AF9" s="2">
        <v>52</v>
      </c>
      <c r="AG9" s="2">
        <v>65</v>
      </c>
      <c r="AH9" s="2">
        <v>66</v>
      </c>
      <c r="AI9" s="2">
        <v>66</v>
      </c>
      <c r="AJ9" s="2">
        <v>38</v>
      </c>
      <c r="AK9" s="2">
        <v>41</v>
      </c>
      <c r="AL9" s="2">
        <v>38</v>
      </c>
      <c r="AM9" s="2">
        <v>52</v>
      </c>
      <c r="AN9" s="2">
        <f t="shared" si="3"/>
        <v>1599</v>
      </c>
      <c r="AO9" s="3">
        <f t="shared" si="4"/>
        <v>1599</v>
      </c>
      <c r="AP9" s="13" t="s">
        <v>84</v>
      </c>
      <c r="AQ9" s="2" t="s">
        <v>104</v>
      </c>
      <c r="AR9" s="2">
        <v>2.68</v>
      </c>
      <c r="AS9" s="2">
        <v>4.42</v>
      </c>
      <c r="AT9" s="2">
        <v>2.75</v>
      </c>
      <c r="AU9" s="2">
        <v>4.45</v>
      </c>
      <c r="AV9" s="2">
        <v>4.43</v>
      </c>
      <c r="AW9" s="2">
        <v>2.71</v>
      </c>
      <c r="AX9" s="2">
        <v>2.69</v>
      </c>
      <c r="AY9" s="2">
        <v>4.59</v>
      </c>
      <c r="AZ9" s="2">
        <v>3.6</v>
      </c>
      <c r="BA9" s="2">
        <v>4.5599999999999996</v>
      </c>
      <c r="BB9" s="2">
        <v>4.53</v>
      </c>
      <c r="BC9" s="2">
        <v>4.49</v>
      </c>
      <c r="BD9" s="2">
        <v>4.41</v>
      </c>
      <c r="BE9" s="2">
        <v>2.75</v>
      </c>
      <c r="BF9" s="2">
        <v>4.51</v>
      </c>
      <c r="BG9" s="2">
        <v>3.58</v>
      </c>
      <c r="BH9" s="2">
        <v>2.65</v>
      </c>
      <c r="BI9" s="2">
        <v>3.56</v>
      </c>
      <c r="BJ9" s="2">
        <v>3.56</v>
      </c>
      <c r="BK9" s="2">
        <v>3.63</v>
      </c>
      <c r="BL9" s="2">
        <v>3.62</v>
      </c>
      <c r="BM9" s="2">
        <v>2.74</v>
      </c>
      <c r="BN9" s="2">
        <v>2.66</v>
      </c>
      <c r="BO9" s="2">
        <v>3.58</v>
      </c>
      <c r="BP9" s="2">
        <v>3.55</v>
      </c>
      <c r="BQ9" s="2">
        <v>2.73</v>
      </c>
      <c r="BR9" s="2">
        <v>2.69</v>
      </c>
      <c r="BS9" s="2">
        <v>2.67</v>
      </c>
      <c r="BT9" s="2">
        <v>4.51</v>
      </c>
      <c r="BU9" s="2">
        <v>4.42</v>
      </c>
      <c r="BV9" s="2">
        <v>4.5599999999999996</v>
      </c>
      <c r="BW9" s="2">
        <v>3.59</v>
      </c>
    </row>
    <row r="10" spans="1:75" x14ac:dyDescent="0.2">
      <c r="A10" s="9" t="s">
        <v>25</v>
      </c>
      <c r="B10" s="2" t="s">
        <v>26</v>
      </c>
      <c r="C10" s="2" t="s">
        <v>12</v>
      </c>
      <c r="D10" s="2" t="s">
        <v>14</v>
      </c>
      <c r="E10" s="2" t="s">
        <v>14</v>
      </c>
      <c r="F10" s="6" t="s">
        <v>14</v>
      </c>
      <c r="G10" s="6" t="s">
        <v>14</v>
      </c>
      <c r="H10" s="6" t="s">
        <v>14</v>
      </c>
      <c r="I10" s="2">
        <v>4</v>
      </c>
      <c r="J10" s="2">
        <v>2.5</v>
      </c>
      <c r="K10" s="2">
        <v>4</v>
      </c>
      <c r="L10" s="2">
        <v>4</v>
      </c>
      <c r="M10" s="2">
        <v>2.4</v>
      </c>
      <c r="N10" s="2">
        <v>2.4</v>
      </c>
      <c r="O10" s="2">
        <v>4.0999999999999996</v>
      </c>
      <c r="P10" s="2">
        <v>3.3</v>
      </c>
      <c r="Q10" s="2">
        <v>4.2</v>
      </c>
      <c r="R10" s="2">
        <v>4.0999999999999996</v>
      </c>
      <c r="S10" s="2">
        <v>4</v>
      </c>
      <c r="T10" s="2">
        <v>3.9</v>
      </c>
      <c r="U10" s="2">
        <v>2.4</v>
      </c>
      <c r="V10" s="2">
        <v>4.0999999999999996</v>
      </c>
      <c r="W10" s="2">
        <v>3.2</v>
      </c>
      <c r="X10" s="2">
        <v>2.4</v>
      </c>
      <c r="Y10" s="2">
        <v>3.2</v>
      </c>
      <c r="Z10" s="2">
        <v>3.3</v>
      </c>
      <c r="AA10" s="2">
        <v>3.3</v>
      </c>
      <c r="AB10" s="2">
        <v>3.3</v>
      </c>
      <c r="AC10" s="2">
        <v>2.5</v>
      </c>
      <c r="AD10" s="2">
        <v>2.4</v>
      </c>
      <c r="AE10" s="2">
        <v>3.2</v>
      </c>
      <c r="AF10" s="2">
        <v>3.2</v>
      </c>
      <c r="AG10" s="2">
        <v>2.4</v>
      </c>
      <c r="AH10" s="2">
        <v>2.5</v>
      </c>
      <c r="AI10" s="2">
        <v>2.4</v>
      </c>
      <c r="AJ10" s="2">
        <v>4.0999999999999996</v>
      </c>
      <c r="AK10" s="2">
        <v>4</v>
      </c>
      <c r="AL10" s="2">
        <v>4.0999999999999996</v>
      </c>
      <c r="AM10" s="2">
        <v>3.2</v>
      </c>
      <c r="AN10" s="2">
        <f t="shared" si="3"/>
        <v>102.10000000000001</v>
      </c>
      <c r="AO10" s="3">
        <f t="shared" si="4"/>
        <v>102.10000000000001</v>
      </c>
      <c r="AP10" s="15"/>
      <c r="AQ10" s="2" t="s">
        <v>105</v>
      </c>
      <c r="AR10" s="2">
        <v>5.59</v>
      </c>
      <c r="AS10" s="2">
        <v>3.29</v>
      </c>
      <c r="AT10" s="2">
        <v>5.59</v>
      </c>
      <c r="AU10" s="2">
        <v>3.33</v>
      </c>
      <c r="AV10" s="2">
        <v>3.28</v>
      </c>
      <c r="AW10" s="2">
        <v>5.52</v>
      </c>
      <c r="AX10" s="2">
        <v>5.5</v>
      </c>
      <c r="AY10" s="2">
        <v>3.36</v>
      </c>
      <c r="AZ10" s="2">
        <v>4.46</v>
      </c>
      <c r="BA10" s="2">
        <v>3.33</v>
      </c>
      <c r="BB10" s="2">
        <v>3.31</v>
      </c>
      <c r="BC10" s="2">
        <v>3.31</v>
      </c>
      <c r="BD10" s="2">
        <v>3.36</v>
      </c>
      <c r="BE10" s="2">
        <v>5.52</v>
      </c>
      <c r="BF10" s="2">
        <v>3.27</v>
      </c>
      <c r="BG10" s="2">
        <v>4.3600000000000003</v>
      </c>
      <c r="BH10" s="2">
        <v>5.43</v>
      </c>
      <c r="BI10" s="2">
        <v>4.3099999999999996</v>
      </c>
      <c r="BJ10" s="2">
        <v>4.3899999999999997</v>
      </c>
      <c r="BK10" s="2">
        <v>4.38</v>
      </c>
      <c r="BL10" s="2">
        <v>4.3600000000000003</v>
      </c>
      <c r="BM10" s="2">
        <v>5.39</v>
      </c>
      <c r="BN10" s="2">
        <v>5.43</v>
      </c>
      <c r="BO10" s="2">
        <v>4.4400000000000004</v>
      </c>
      <c r="BP10" s="2">
        <v>4.45</v>
      </c>
      <c r="BQ10" s="2">
        <v>5.52</v>
      </c>
      <c r="BR10" s="2">
        <v>5.59</v>
      </c>
      <c r="BS10" s="2">
        <v>5.53</v>
      </c>
      <c r="BT10" s="2">
        <v>3.35</v>
      </c>
      <c r="BU10" s="2">
        <v>3.35</v>
      </c>
      <c r="BV10" s="2">
        <v>3.29</v>
      </c>
      <c r="BW10" s="2">
        <v>4.33</v>
      </c>
    </row>
    <row r="11" spans="1:75" x14ac:dyDescent="0.2">
      <c r="A11" s="9"/>
      <c r="B11" s="2" t="s">
        <v>27</v>
      </c>
      <c r="C11" s="2" t="s">
        <v>12</v>
      </c>
      <c r="D11" s="2" t="s">
        <v>14</v>
      </c>
      <c r="E11" s="2" t="s">
        <v>14</v>
      </c>
      <c r="F11" s="6" t="s">
        <v>14</v>
      </c>
      <c r="G11" s="6" t="s">
        <v>14</v>
      </c>
      <c r="H11" s="6" t="s">
        <v>14</v>
      </c>
      <c r="I11" s="2">
        <v>2.6</v>
      </c>
      <c r="J11" s="2">
        <v>4.5</v>
      </c>
      <c r="K11" s="2">
        <v>2.7</v>
      </c>
      <c r="L11" s="2">
        <v>2.6</v>
      </c>
      <c r="M11" s="2">
        <v>4.3</v>
      </c>
      <c r="N11" s="2">
        <v>4.4000000000000004</v>
      </c>
      <c r="O11" s="2">
        <v>2.7</v>
      </c>
      <c r="P11" s="2">
        <v>3.5</v>
      </c>
      <c r="Q11" s="2">
        <v>2.7</v>
      </c>
      <c r="R11" s="2">
        <v>2.6</v>
      </c>
      <c r="S11" s="2">
        <v>2.6</v>
      </c>
      <c r="T11" s="2">
        <v>2.7</v>
      </c>
      <c r="U11" s="2">
        <v>4.3</v>
      </c>
      <c r="V11" s="2">
        <v>2.6</v>
      </c>
      <c r="W11" s="2">
        <v>3.5</v>
      </c>
      <c r="X11" s="2">
        <v>4.4000000000000004</v>
      </c>
      <c r="Y11" s="2">
        <v>3.4</v>
      </c>
      <c r="Z11" s="2">
        <v>3.5</v>
      </c>
      <c r="AA11" s="2">
        <v>3.4</v>
      </c>
      <c r="AB11" s="2">
        <v>3.4</v>
      </c>
      <c r="AC11" s="2">
        <v>4.3</v>
      </c>
      <c r="AD11" s="2">
        <v>4.3</v>
      </c>
      <c r="AE11" s="2">
        <v>3.5</v>
      </c>
      <c r="AF11" s="2">
        <v>3.5</v>
      </c>
      <c r="AG11" s="2">
        <v>4.4000000000000004</v>
      </c>
      <c r="AH11" s="2">
        <v>4.5</v>
      </c>
      <c r="AI11" s="2">
        <v>4.5</v>
      </c>
      <c r="AJ11" s="2">
        <v>2.6</v>
      </c>
      <c r="AK11" s="2">
        <v>2.7</v>
      </c>
      <c r="AL11" s="2">
        <v>2.6</v>
      </c>
      <c r="AM11" s="2">
        <v>3.5</v>
      </c>
      <c r="AN11" s="2">
        <f t="shared" si="3"/>
        <v>106.8</v>
      </c>
      <c r="AO11" s="3">
        <f t="shared" si="4"/>
        <v>106.8</v>
      </c>
      <c r="AP11" s="2" t="s">
        <v>85</v>
      </c>
      <c r="AQ11" s="2" t="s">
        <v>86</v>
      </c>
      <c r="AR11" s="2">
        <v>1438.9</v>
      </c>
      <c r="AS11" s="2">
        <v>1444.2</v>
      </c>
      <c r="AT11" s="2">
        <v>1449.8</v>
      </c>
      <c r="AU11" s="2">
        <v>1455.2</v>
      </c>
      <c r="AV11" s="2">
        <v>1460.5</v>
      </c>
      <c r="AW11" s="2">
        <v>1465.9</v>
      </c>
      <c r="AX11" s="2">
        <v>1471.3</v>
      </c>
      <c r="AY11" s="2">
        <v>1476.7</v>
      </c>
      <c r="AZ11" s="2">
        <v>1482.1</v>
      </c>
      <c r="BA11" s="2">
        <v>1487.6</v>
      </c>
      <c r="BB11" s="2">
        <v>1493</v>
      </c>
      <c r="BC11" s="2">
        <v>1498.3</v>
      </c>
      <c r="BD11" s="2">
        <v>1503.6</v>
      </c>
      <c r="BE11" s="2">
        <v>1509</v>
      </c>
      <c r="BF11" s="2">
        <v>1514.4</v>
      </c>
      <c r="BG11" s="2">
        <v>1519.8</v>
      </c>
      <c r="BH11" s="2">
        <v>1525.2</v>
      </c>
      <c r="BI11" s="2">
        <v>1530.5</v>
      </c>
      <c r="BJ11" s="2">
        <v>1535.9</v>
      </c>
      <c r="BK11" s="2">
        <v>1541.3</v>
      </c>
      <c r="BL11" s="2">
        <v>1546.7</v>
      </c>
      <c r="BM11" s="2">
        <v>1552.1</v>
      </c>
      <c r="BN11" s="2">
        <v>1557.5</v>
      </c>
      <c r="BO11" s="2">
        <v>1562.9</v>
      </c>
      <c r="BP11" s="2">
        <v>1568.3</v>
      </c>
      <c r="BQ11" s="2">
        <v>1573.7</v>
      </c>
      <c r="BR11" s="2">
        <v>1579.3</v>
      </c>
      <c r="BS11" s="2">
        <v>1584.8</v>
      </c>
      <c r="BT11" s="2">
        <v>1590.2</v>
      </c>
      <c r="BU11" s="2">
        <v>1595.6</v>
      </c>
      <c r="BV11" s="2">
        <v>1601</v>
      </c>
      <c r="BW11" s="2">
        <v>1606.4</v>
      </c>
    </row>
    <row r="12" spans="1:75" x14ac:dyDescent="0.2">
      <c r="A12" s="9" t="s">
        <v>28</v>
      </c>
      <c r="B12" s="2" t="s">
        <v>29</v>
      </c>
      <c r="C12" s="2" t="s">
        <v>103</v>
      </c>
      <c r="D12" s="2" t="s">
        <v>102</v>
      </c>
      <c r="E12" s="2">
        <v>0.82</v>
      </c>
      <c r="F12" s="6">
        <f>AM12/(AM10+AM11)</f>
        <v>0.80597014925374488</v>
      </c>
      <c r="G12" s="6">
        <f>AN12/(AN10+AN11)</f>
        <v>0.80181905217807559</v>
      </c>
      <c r="H12" s="6">
        <f>AO12/(AO10+AO11)</f>
        <v>0.80181905217807559</v>
      </c>
      <c r="I12" s="2">
        <f>AS11-AR11</f>
        <v>5.2999999999999545</v>
      </c>
      <c r="J12" s="2">
        <f t="shared" ref="J12:AM12" si="6">AT11-AS11</f>
        <v>5.5999999999999091</v>
      </c>
      <c r="K12" s="2">
        <f t="shared" si="6"/>
        <v>5.4000000000000909</v>
      </c>
      <c r="L12" s="2">
        <f t="shared" si="6"/>
        <v>5.2999999999999545</v>
      </c>
      <c r="M12" s="2">
        <f t="shared" si="6"/>
        <v>5.4000000000000909</v>
      </c>
      <c r="N12" s="2">
        <f t="shared" si="6"/>
        <v>5.3999999999998636</v>
      </c>
      <c r="O12" s="2">
        <f t="shared" si="6"/>
        <v>5.4000000000000909</v>
      </c>
      <c r="P12" s="2">
        <f t="shared" si="6"/>
        <v>5.3999999999998636</v>
      </c>
      <c r="Q12" s="2">
        <f t="shared" si="6"/>
        <v>5.5</v>
      </c>
      <c r="R12" s="2">
        <f t="shared" si="6"/>
        <v>5.4000000000000909</v>
      </c>
      <c r="S12" s="2">
        <f t="shared" si="6"/>
        <v>5.2999999999999545</v>
      </c>
      <c r="T12" s="2">
        <f t="shared" si="6"/>
        <v>5.2999999999999545</v>
      </c>
      <c r="U12" s="2">
        <f t="shared" si="6"/>
        <v>5.4000000000000909</v>
      </c>
      <c r="V12" s="2">
        <f t="shared" si="6"/>
        <v>5.4000000000000909</v>
      </c>
      <c r="W12" s="2">
        <f t="shared" si="6"/>
        <v>5.3999999999998636</v>
      </c>
      <c r="X12" s="2">
        <f t="shared" si="6"/>
        <v>5.4000000000000909</v>
      </c>
      <c r="Y12" s="2">
        <f t="shared" si="6"/>
        <v>5.2999999999999545</v>
      </c>
      <c r="Z12" s="2">
        <f t="shared" si="6"/>
        <v>5.4000000000000909</v>
      </c>
      <c r="AA12" s="2">
        <f t="shared" si="6"/>
        <v>5.3999999999998636</v>
      </c>
      <c r="AB12" s="2">
        <f t="shared" si="6"/>
        <v>5.4000000000000909</v>
      </c>
      <c r="AC12" s="2">
        <f t="shared" si="6"/>
        <v>5.3999999999998636</v>
      </c>
      <c r="AD12" s="2">
        <f t="shared" si="6"/>
        <v>5.4000000000000909</v>
      </c>
      <c r="AE12" s="2">
        <f t="shared" si="6"/>
        <v>5.4000000000000909</v>
      </c>
      <c r="AF12" s="2">
        <f t="shared" si="6"/>
        <v>5.3999999999998636</v>
      </c>
      <c r="AG12" s="2">
        <f t="shared" si="6"/>
        <v>5.4000000000000909</v>
      </c>
      <c r="AH12" s="2">
        <f t="shared" si="6"/>
        <v>5.5999999999999091</v>
      </c>
      <c r="AI12" s="2">
        <f t="shared" si="6"/>
        <v>5.5</v>
      </c>
      <c r="AJ12" s="2">
        <f t="shared" si="6"/>
        <v>5.4000000000000909</v>
      </c>
      <c r="AK12" s="2">
        <f t="shared" si="6"/>
        <v>5.3999999999998636</v>
      </c>
      <c r="AL12" s="2">
        <f t="shared" si="6"/>
        <v>5.4000000000000909</v>
      </c>
      <c r="AM12" s="2">
        <f t="shared" si="6"/>
        <v>5.4000000000000909</v>
      </c>
      <c r="AN12" s="2">
        <f t="shared" si="3"/>
        <v>167.5</v>
      </c>
      <c r="AO12" s="3">
        <f t="shared" si="4"/>
        <v>167.5</v>
      </c>
      <c r="AP12" s="2" t="s">
        <v>31</v>
      </c>
      <c r="AQ12" s="2" t="s">
        <v>87</v>
      </c>
      <c r="AR12" s="2">
        <v>898.6</v>
      </c>
      <c r="AS12" s="2">
        <v>901.9</v>
      </c>
      <c r="AT12" s="2">
        <v>905.4</v>
      </c>
      <c r="AU12" s="2">
        <v>908.8</v>
      </c>
      <c r="AV12" s="2">
        <v>912.1</v>
      </c>
      <c r="AW12" s="2">
        <v>915.5</v>
      </c>
      <c r="AX12" s="2">
        <v>918.9</v>
      </c>
      <c r="AY12" s="2">
        <v>922.3</v>
      </c>
      <c r="AZ12" s="2">
        <v>925.7</v>
      </c>
      <c r="BA12" s="2">
        <v>929.1</v>
      </c>
      <c r="BB12" s="2">
        <v>932.5</v>
      </c>
      <c r="BC12" s="2">
        <v>935.8</v>
      </c>
      <c r="BD12" s="2">
        <v>939.1</v>
      </c>
      <c r="BE12" s="2">
        <v>942.5</v>
      </c>
      <c r="BF12" s="2">
        <v>945.9</v>
      </c>
      <c r="BG12" s="2">
        <v>949.3</v>
      </c>
      <c r="BH12" s="2">
        <v>952.7</v>
      </c>
      <c r="BI12" s="2">
        <v>956</v>
      </c>
      <c r="BJ12" s="2">
        <v>959.4</v>
      </c>
      <c r="BK12" s="2">
        <v>962.8</v>
      </c>
      <c r="BL12" s="2">
        <v>966.2</v>
      </c>
      <c r="BM12" s="2">
        <v>969.6</v>
      </c>
      <c r="BN12" s="2">
        <v>973</v>
      </c>
      <c r="BO12" s="2">
        <v>976.4</v>
      </c>
      <c r="BP12" s="2">
        <v>979.8</v>
      </c>
      <c r="BQ12" s="2">
        <v>983.2</v>
      </c>
      <c r="BR12" s="2">
        <v>986.7</v>
      </c>
      <c r="BS12" s="2">
        <v>990.1</v>
      </c>
      <c r="BT12" s="2">
        <v>993.5</v>
      </c>
      <c r="BU12" s="2">
        <v>996.9</v>
      </c>
      <c r="BV12" s="2">
        <v>1000.3</v>
      </c>
      <c r="BW12" s="2">
        <v>1003.7</v>
      </c>
    </row>
    <row r="13" spans="1:75" x14ac:dyDescent="0.2">
      <c r="A13" s="9"/>
      <c r="B13" s="2" t="s">
        <v>30</v>
      </c>
      <c r="C13" s="2" t="s">
        <v>12</v>
      </c>
      <c r="D13" s="2" t="s">
        <v>14</v>
      </c>
      <c r="E13" s="2" t="s">
        <v>14</v>
      </c>
      <c r="F13" s="6" t="s">
        <v>14</v>
      </c>
      <c r="G13" s="6" t="s">
        <v>14</v>
      </c>
      <c r="H13" s="6" t="s">
        <v>14</v>
      </c>
      <c r="I13" s="2">
        <v>2.6</v>
      </c>
      <c r="J13" s="2">
        <v>2.6</v>
      </c>
      <c r="K13" s="2">
        <v>2.6</v>
      </c>
      <c r="L13" s="2">
        <v>2.8</v>
      </c>
      <c r="M13" s="2">
        <v>2.8</v>
      </c>
      <c r="N13" s="2">
        <v>2.6</v>
      </c>
      <c r="O13" s="2">
        <v>2.7</v>
      </c>
      <c r="P13" s="2">
        <v>2.7</v>
      </c>
      <c r="Q13" s="2">
        <v>2.8</v>
      </c>
      <c r="R13" s="2">
        <v>2.6</v>
      </c>
      <c r="S13" s="2">
        <v>2.7</v>
      </c>
      <c r="T13" s="2">
        <v>2.9</v>
      </c>
      <c r="U13" s="2">
        <v>2.7</v>
      </c>
      <c r="V13" s="2">
        <v>2.9</v>
      </c>
      <c r="W13" s="2">
        <v>2.7</v>
      </c>
      <c r="X13" s="2">
        <v>2.6</v>
      </c>
      <c r="Y13" s="2">
        <v>2.7</v>
      </c>
      <c r="Z13" s="2">
        <v>2.8</v>
      </c>
      <c r="AA13" s="2">
        <v>2.9</v>
      </c>
      <c r="AB13" s="2">
        <v>2.6</v>
      </c>
      <c r="AC13" s="2">
        <v>2.7</v>
      </c>
      <c r="AD13" s="2">
        <v>2.7</v>
      </c>
      <c r="AE13" s="2">
        <v>2.8</v>
      </c>
      <c r="AF13" s="2">
        <v>2.5</v>
      </c>
      <c r="AG13" s="2">
        <v>3</v>
      </c>
      <c r="AH13" s="2">
        <v>2.8</v>
      </c>
      <c r="AI13" s="2">
        <v>2.6</v>
      </c>
      <c r="AJ13" s="2">
        <v>2.9</v>
      </c>
      <c r="AK13" s="2">
        <v>2.8</v>
      </c>
      <c r="AL13" s="2">
        <v>2.9</v>
      </c>
      <c r="AM13" s="2">
        <v>2.6</v>
      </c>
      <c r="AN13" s="2">
        <f t="shared" si="3"/>
        <v>84.600000000000009</v>
      </c>
      <c r="AO13" s="3">
        <f t="shared" si="4"/>
        <v>84.600000000000009</v>
      </c>
      <c r="AP13" s="2" t="s">
        <v>33</v>
      </c>
      <c r="AQ13" s="2" t="s">
        <v>88</v>
      </c>
      <c r="AR13" s="2">
        <v>1262.3</v>
      </c>
      <c r="AS13" s="2">
        <v>1266.9000000000001</v>
      </c>
      <c r="AT13" s="2">
        <v>1271.8</v>
      </c>
      <c r="AU13" s="2">
        <v>1276.5</v>
      </c>
      <c r="AV13" s="2">
        <v>1281.0999999999999</v>
      </c>
      <c r="AW13" s="2">
        <v>1285.8</v>
      </c>
      <c r="AX13" s="2">
        <v>1290.5999999999999</v>
      </c>
      <c r="AY13" s="2">
        <v>1295.4000000000001</v>
      </c>
      <c r="AZ13" s="2">
        <v>1300.2</v>
      </c>
      <c r="BA13" s="2">
        <v>1305</v>
      </c>
      <c r="BB13" s="2">
        <v>1309.7</v>
      </c>
      <c r="BC13" s="2">
        <v>1314.3</v>
      </c>
      <c r="BD13" s="2">
        <v>1318.9</v>
      </c>
      <c r="BE13" s="2">
        <v>1323.6</v>
      </c>
      <c r="BF13" s="2">
        <v>1328.3</v>
      </c>
      <c r="BG13" s="2">
        <v>1333</v>
      </c>
      <c r="BH13" s="2">
        <v>1337.8</v>
      </c>
      <c r="BI13" s="2">
        <v>1342.4</v>
      </c>
      <c r="BJ13" s="2">
        <v>1347.2</v>
      </c>
      <c r="BK13" s="2">
        <v>1351.9</v>
      </c>
      <c r="BL13" s="2">
        <v>1356.6</v>
      </c>
      <c r="BM13" s="2">
        <v>1361.4</v>
      </c>
      <c r="BN13" s="2">
        <v>1366.1</v>
      </c>
      <c r="BO13" s="2">
        <v>1370.8</v>
      </c>
      <c r="BP13" s="2">
        <v>1375.5</v>
      </c>
      <c r="BQ13" s="2">
        <v>1380.3</v>
      </c>
      <c r="BR13" s="2">
        <v>1385.2</v>
      </c>
      <c r="BS13" s="2">
        <v>1390</v>
      </c>
      <c r="BT13" s="2">
        <v>1394.7</v>
      </c>
      <c r="BU13" s="2">
        <v>1399.4</v>
      </c>
      <c r="BV13" s="2">
        <v>1404.1</v>
      </c>
      <c r="BW13" s="2">
        <v>1408.8</v>
      </c>
    </row>
    <row r="14" spans="1:75" x14ac:dyDescent="0.2">
      <c r="A14" s="9"/>
      <c r="B14" s="2" t="s">
        <v>31</v>
      </c>
      <c r="C14" s="2" t="s">
        <v>12</v>
      </c>
      <c r="D14" s="2" t="s">
        <v>32</v>
      </c>
      <c r="E14" s="2">
        <v>0.62</v>
      </c>
      <c r="F14" s="6">
        <f>AM14/(AM10+AM11)</f>
        <v>0.50746268656717775</v>
      </c>
      <c r="G14" s="6">
        <f>AN14/(AN10+AN11)</f>
        <v>0.50311153662039265</v>
      </c>
      <c r="H14" s="6">
        <f>AO14/(AO10+AO11)</f>
        <v>0.50311153662039265</v>
      </c>
      <c r="I14" s="2">
        <f>AS12-AR12</f>
        <v>3.2999999999999545</v>
      </c>
      <c r="J14" s="2">
        <f t="shared" ref="J14:AM18" si="7">AT12-AS12</f>
        <v>3.5</v>
      </c>
      <c r="K14" s="2">
        <f t="shared" si="7"/>
        <v>3.3999999999999773</v>
      </c>
      <c r="L14" s="2">
        <f t="shared" si="7"/>
        <v>3.3000000000000682</v>
      </c>
      <c r="M14" s="2">
        <f t="shared" si="7"/>
        <v>3.3999999999999773</v>
      </c>
      <c r="N14" s="2">
        <f t="shared" si="7"/>
        <v>3.3999999999999773</v>
      </c>
      <c r="O14" s="2">
        <f t="shared" si="7"/>
        <v>3.3999999999999773</v>
      </c>
      <c r="P14" s="2">
        <f t="shared" si="7"/>
        <v>3.4000000000000909</v>
      </c>
      <c r="Q14" s="2">
        <f t="shared" si="7"/>
        <v>3.3999999999999773</v>
      </c>
      <c r="R14" s="2">
        <f t="shared" si="7"/>
        <v>3.3999999999999773</v>
      </c>
      <c r="S14" s="2">
        <f t="shared" si="7"/>
        <v>3.2999999999999545</v>
      </c>
      <c r="T14" s="2">
        <f t="shared" si="7"/>
        <v>3.3000000000000682</v>
      </c>
      <c r="U14" s="2">
        <f t="shared" si="7"/>
        <v>3.3999999999999773</v>
      </c>
      <c r="V14" s="2">
        <f t="shared" si="7"/>
        <v>3.3999999999999773</v>
      </c>
      <c r="W14" s="2">
        <f t="shared" si="7"/>
        <v>3.3999999999999773</v>
      </c>
      <c r="X14" s="2">
        <f t="shared" si="7"/>
        <v>3.4000000000000909</v>
      </c>
      <c r="Y14" s="2">
        <f t="shared" si="7"/>
        <v>3.2999999999999545</v>
      </c>
      <c r="Z14" s="2">
        <f t="shared" si="7"/>
        <v>3.3999999999999773</v>
      </c>
      <c r="AA14" s="2">
        <f t="shared" si="7"/>
        <v>3.3999999999999773</v>
      </c>
      <c r="AB14" s="2">
        <f t="shared" si="7"/>
        <v>3.4000000000000909</v>
      </c>
      <c r="AC14" s="2">
        <f t="shared" si="7"/>
        <v>3.3999999999999773</v>
      </c>
      <c r="AD14" s="2">
        <f t="shared" si="7"/>
        <v>3.3999999999999773</v>
      </c>
      <c r="AE14" s="2">
        <f t="shared" si="7"/>
        <v>3.3999999999999773</v>
      </c>
      <c r="AF14" s="2">
        <f t="shared" si="7"/>
        <v>3.3999999999999773</v>
      </c>
      <c r="AG14" s="2">
        <f t="shared" si="7"/>
        <v>3.4000000000000909</v>
      </c>
      <c r="AH14" s="2">
        <f t="shared" si="7"/>
        <v>3.5</v>
      </c>
      <c r="AI14" s="2">
        <f t="shared" si="7"/>
        <v>3.3999999999999773</v>
      </c>
      <c r="AJ14" s="2">
        <f t="shared" si="7"/>
        <v>3.3999999999999773</v>
      </c>
      <c r="AK14" s="2">
        <f t="shared" si="7"/>
        <v>3.3999999999999773</v>
      </c>
      <c r="AL14" s="2">
        <f t="shared" si="7"/>
        <v>3.3999999999999773</v>
      </c>
      <c r="AM14" s="2">
        <f t="shared" si="7"/>
        <v>3.4000000000000909</v>
      </c>
      <c r="AN14" s="2">
        <f t="shared" si="3"/>
        <v>105.10000000000002</v>
      </c>
      <c r="AO14" s="3">
        <f t="shared" si="4"/>
        <v>105.10000000000002</v>
      </c>
      <c r="AP14" s="2" t="s">
        <v>35</v>
      </c>
      <c r="AQ14" s="2" t="s">
        <v>89</v>
      </c>
      <c r="AR14" s="2">
        <v>83264</v>
      </c>
      <c r="AS14" s="2">
        <v>83561</v>
      </c>
      <c r="AT14" s="2">
        <v>83876</v>
      </c>
      <c r="AU14" s="2">
        <v>84177</v>
      </c>
      <c r="AV14" s="2">
        <v>84474</v>
      </c>
      <c r="AW14" s="2">
        <v>84775</v>
      </c>
      <c r="AX14" s="2">
        <v>85081</v>
      </c>
      <c r="AY14" s="2">
        <v>85387</v>
      </c>
      <c r="AZ14" s="2">
        <v>85693</v>
      </c>
      <c r="BA14" s="2">
        <v>86003</v>
      </c>
      <c r="BB14" s="2">
        <v>86304</v>
      </c>
      <c r="BC14" s="2">
        <v>86601</v>
      </c>
      <c r="BD14" s="2">
        <v>86898</v>
      </c>
      <c r="BE14" s="2">
        <v>87199</v>
      </c>
      <c r="BF14" s="2">
        <v>87500</v>
      </c>
      <c r="BG14" s="2">
        <v>87801</v>
      </c>
      <c r="BH14" s="2">
        <v>88107</v>
      </c>
      <c r="BI14" s="2">
        <v>88404</v>
      </c>
      <c r="BJ14" s="2">
        <v>88710</v>
      </c>
      <c r="BK14" s="2">
        <v>89011</v>
      </c>
      <c r="BL14" s="2">
        <v>89312</v>
      </c>
      <c r="BM14" s="2">
        <v>89618</v>
      </c>
      <c r="BN14" s="2">
        <v>89919</v>
      </c>
      <c r="BO14" s="2">
        <v>90220</v>
      </c>
      <c r="BP14" s="2">
        <v>90521</v>
      </c>
      <c r="BQ14" s="2">
        <v>90827</v>
      </c>
      <c r="BR14" s="2">
        <v>91142</v>
      </c>
      <c r="BS14" s="2">
        <v>91452</v>
      </c>
      <c r="BT14" s="2">
        <v>91753</v>
      </c>
      <c r="BU14" s="2">
        <v>92054</v>
      </c>
      <c r="BV14" s="2">
        <v>92355</v>
      </c>
      <c r="BW14" s="2">
        <v>92656</v>
      </c>
    </row>
    <row r="15" spans="1:75" x14ac:dyDescent="0.2">
      <c r="A15" s="9"/>
      <c r="B15" s="2" t="s">
        <v>33</v>
      </c>
      <c r="C15" s="2" t="s">
        <v>12</v>
      </c>
      <c r="D15" s="2" t="s">
        <v>34</v>
      </c>
      <c r="E15" s="2">
        <v>0.73</v>
      </c>
      <c r="F15" s="6">
        <f>AM15/(AM10+AM11)</f>
        <v>0.70149253731343963</v>
      </c>
      <c r="G15" s="6">
        <f>AN15/(AN10+AN11)</f>
        <v>0.70129248444231684</v>
      </c>
      <c r="H15" s="6">
        <f>AO15/(AO10+AO11)</f>
        <v>0.70129248444231684</v>
      </c>
      <c r="I15" s="2">
        <f t="shared" ref="I15:I18" si="8">AS13-AR13</f>
        <v>4.6000000000001364</v>
      </c>
      <c r="J15" s="2">
        <f t="shared" si="7"/>
        <v>4.8999999999998636</v>
      </c>
      <c r="K15" s="2">
        <f t="shared" si="7"/>
        <v>4.7000000000000455</v>
      </c>
      <c r="L15" s="2">
        <f t="shared" si="7"/>
        <v>4.5999999999999091</v>
      </c>
      <c r="M15" s="2">
        <f t="shared" si="7"/>
        <v>4.7000000000000455</v>
      </c>
      <c r="N15" s="2">
        <f t="shared" si="7"/>
        <v>4.7999999999999545</v>
      </c>
      <c r="O15" s="2">
        <f t="shared" si="7"/>
        <v>4.8000000000001819</v>
      </c>
      <c r="P15" s="2">
        <f t="shared" si="7"/>
        <v>4.7999999999999545</v>
      </c>
      <c r="Q15" s="2">
        <f t="shared" si="7"/>
        <v>4.7999999999999545</v>
      </c>
      <c r="R15" s="2">
        <f t="shared" si="7"/>
        <v>4.7000000000000455</v>
      </c>
      <c r="S15" s="2">
        <f t="shared" si="7"/>
        <v>4.5999999999999091</v>
      </c>
      <c r="T15" s="2">
        <f t="shared" si="7"/>
        <v>4.6000000000001364</v>
      </c>
      <c r="U15" s="2">
        <f t="shared" si="7"/>
        <v>4.6999999999998181</v>
      </c>
      <c r="V15" s="2">
        <f t="shared" si="7"/>
        <v>4.7000000000000455</v>
      </c>
      <c r="W15" s="2">
        <f t="shared" si="7"/>
        <v>4.7000000000000455</v>
      </c>
      <c r="X15" s="2">
        <f t="shared" si="7"/>
        <v>4.7999999999999545</v>
      </c>
      <c r="Y15" s="2">
        <f t="shared" si="7"/>
        <v>4.6000000000001364</v>
      </c>
      <c r="Z15" s="2">
        <f t="shared" si="7"/>
        <v>4.7999999999999545</v>
      </c>
      <c r="AA15" s="2">
        <f t="shared" si="7"/>
        <v>4.7000000000000455</v>
      </c>
      <c r="AB15" s="2">
        <f t="shared" si="7"/>
        <v>4.6999999999998181</v>
      </c>
      <c r="AC15" s="2">
        <f t="shared" si="7"/>
        <v>4.8000000000001819</v>
      </c>
      <c r="AD15" s="2">
        <f t="shared" si="7"/>
        <v>4.6999999999998181</v>
      </c>
      <c r="AE15" s="2">
        <f t="shared" si="7"/>
        <v>4.7000000000000455</v>
      </c>
      <c r="AF15" s="2">
        <f t="shared" si="7"/>
        <v>4.7000000000000455</v>
      </c>
      <c r="AG15" s="2">
        <f t="shared" si="7"/>
        <v>4.7999999999999545</v>
      </c>
      <c r="AH15" s="2">
        <f t="shared" si="7"/>
        <v>4.9000000000000909</v>
      </c>
      <c r="AI15" s="2">
        <f t="shared" si="7"/>
        <v>4.7999999999999545</v>
      </c>
      <c r="AJ15" s="2">
        <f t="shared" si="7"/>
        <v>4.7000000000000455</v>
      </c>
      <c r="AK15" s="2">
        <f t="shared" si="7"/>
        <v>4.7000000000000455</v>
      </c>
      <c r="AL15" s="2">
        <f t="shared" si="7"/>
        <v>4.6999999999998181</v>
      </c>
      <c r="AM15" s="2">
        <f t="shared" si="7"/>
        <v>4.7000000000000455</v>
      </c>
      <c r="AN15" s="2">
        <f t="shared" si="3"/>
        <v>146.5</v>
      </c>
      <c r="AO15" s="3">
        <f t="shared" si="4"/>
        <v>146.5</v>
      </c>
      <c r="AP15" s="2" t="s">
        <v>38</v>
      </c>
      <c r="AQ15" s="2" t="s">
        <v>90</v>
      </c>
      <c r="AR15" s="2">
        <v>367258</v>
      </c>
      <c r="AS15" s="2">
        <v>368578</v>
      </c>
      <c r="AT15" s="2">
        <v>369978</v>
      </c>
      <c r="AU15" s="2">
        <v>371318</v>
      </c>
      <c r="AV15" s="2">
        <v>372638</v>
      </c>
      <c r="AW15" s="2">
        <v>373977</v>
      </c>
      <c r="AX15" s="2">
        <v>375337</v>
      </c>
      <c r="AY15" s="2">
        <v>376697</v>
      </c>
      <c r="AZ15" s="2">
        <v>378057</v>
      </c>
      <c r="BA15" s="2">
        <v>379437</v>
      </c>
      <c r="BB15" s="2">
        <v>380776</v>
      </c>
      <c r="BC15" s="2">
        <v>382096</v>
      </c>
      <c r="BD15" s="2">
        <v>383416</v>
      </c>
      <c r="BE15" s="2">
        <v>384755</v>
      </c>
      <c r="BF15" s="2">
        <v>386094</v>
      </c>
      <c r="BG15" s="2">
        <v>387434</v>
      </c>
      <c r="BH15" s="2">
        <v>388794</v>
      </c>
      <c r="BI15" s="2">
        <v>390114</v>
      </c>
      <c r="BJ15" s="2">
        <v>391474</v>
      </c>
      <c r="BK15" s="2">
        <v>392813</v>
      </c>
      <c r="BL15" s="2">
        <v>394152</v>
      </c>
      <c r="BM15" s="2">
        <v>395512</v>
      </c>
      <c r="BN15" s="2">
        <v>396851</v>
      </c>
      <c r="BO15" s="2">
        <v>398191</v>
      </c>
      <c r="BP15" s="2">
        <v>399531</v>
      </c>
      <c r="BQ15" s="2">
        <v>400891</v>
      </c>
      <c r="BR15" s="2">
        <v>402291</v>
      </c>
      <c r="BS15" s="2">
        <v>403671</v>
      </c>
      <c r="BT15" s="2">
        <v>405010</v>
      </c>
      <c r="BU15" s="2">
        <v>406350</v>
      </c>
      <c r="BV15" s="2">
        <v>407689</v>
      </c>
      <c r="BW15" s="2">
        <v>409029</v>
      </c>
    </row>
    <row r="16" spans="1:75" x14ac:dyDescent="0.2">
      <c r="A16" s="9"/>
      <c r="B16" s="2" t="s">
        <v>35</v>
      </c>
      <c r="C16" s="2" t="s">
        <v>36</v>
      </c>
      <c r="D16" s="2" t="s">
        <v>37</v>
      </c>
      <c r="E16" s="2">
        <v>47.62</v>
      </c>
      <c r="F16" s="6">
        <f>AM16/(AM10+AM11)</f>
        <v>44.92537313432836</v>
      </c>
      <c r="G16" s="6">
        <f>AN16/(AN10+AN11)</f>
        <v>44.959310674964094</v>
      </c>
      <c r="H16" s="6">
        <f>AO16/(AO10+AO11)</f>
        <v>44.959310674964094</v>
      </c>
      <c r="I16" s="2">
        <f t="shared" si="8"/>
        <v>297</v>
      </c>
      <c r="J16" s="2">
        <f t="shared" si="7"/>
        <v>315</v>
      </c>
      <c r="K16" s="2">
        <f t="shared" si="7"/>
        <v>301</v>
      </c>
      <c r="L16" s="2">
        <f t="shared" si="7"/>
        <v>297</v>
      </c>
      <c r="M16" s="2">
        <f t="shared" si="7"/>
        <v>301</v>
      </c>
      <c r="N16" s="2">
        <f t="shared" si="7"/>
        <v>306</v>
      </c>
      <c r="O16" s="2">
        <f t="shared" si="7"/>
        <v>306</v>
      </c>
      <c r="P16" s="2">
        <f t="shared" si="7"/>
        <v>306</v>
      </c>
      <c r="Q16" s="2">
        <f t="shared" si="7"/>
        <v>310</v>
      </c>
      <c r="R16" s="2">
        <f t="shared" si="7"/>
        <v>301</v>
      </c>
      <c r="S16" s="2">
        <f t="shared" si="7"/>
        <v>297</v>
      </c>
      <c r="T16" s="2">
        <f t="shared" si="7"/>
        <v>297</v>
      </c>
      <c r="U16" s="2">
        <f t="shared" si="7"/>
        <v>301</v>
      </c>
      <c r="V16" s="2">
        <f t="shared" si="7"/>
        <v>301</v>
      </c>
      <c r="W16" s="2">
        <f t="shared" si="7"/>
        <v>301</v>
      </c>
      <c r="X16" s="2">
        <f t="shared" si="7"/>
        <v>306</v>
      </c>
      <c r="Y16" s="2">
        <f t="shared" si="7"/>
        <v>297</v>
      </c>
      <c r="Z16" s="2">
        <f t="shared" si="7"/>
        <v>306</v>
      </c>
      <c r="AA16" s="2">
        <f t="shared" si="7"/>
        <v>301</v>
      </c>
      <c r="AB16" s="2">
        <f t="shared" si="7"/>
        <v>301</v>
      </c>
      <c r="AC16" s="2">
        <f t="shared" si="7"/>
        <v>306</v>
      </c>
      <c r="AD16" s="2">
        <f t="shared" si="7"/>
        <v>301</v>
      </c>
      <c r="AE16" s="2">
        <f t="shared" si="7"/>
        <v>301</v>
      </c>
      <c r="AF16" s="2">
        <f t="shared" si="7"/>
        <v>301</v>
      </c>
      <c r="AG16" s="2">
        <f t="shared" si="7"/>
        <v>306</v>
      </c>
      <c r="AH16" s="2">
        <f t="shared" si="7"/>
        <v>315</v>
      </c>
      <c r="AI16" s="2">
        <f t="shared" si="7"/>
        <v>310</v>
      </c>
      <c r="AJ16" s="2">
        <f t="shared" si="7"/>
        <v>301</v>
      </c>
      <c r="AK16" s="2">
        <f t="shared" si="7"/>
        <v>301</v>
      </c>
      <c r="AL16" s="2">
        <f t="shared" si="7"/>
        <v>301</v>
      </c>
      <c r="AM16" s="2">
        <f t="shared" si="7"/>
        <v>301</v>
      </c>
      <c r="AN16" s="2">
        <f t="shared" si="3"/>
        <v>9392</v>
      </c>
      <c r="AO16" s="3">
        <f t="shared" si="4"/>
        <v>9392</v>
      </c>
      <c r="AP16" s="2" t="s">
        <v>41</v>
      </c>
      <c r="AQ16" s="2" t="s">
        <v>91</v>
      </c>
      <c r="AR16" s="2">
        <v>95234</v>
      </c>
      <c r="AS16" s="2">
        <v>95564</v>
      </c>
      <c r="AT16" s="2">
        <v>95914</v>
      </c>
      <c r="AU16" s="2">
        <v>96249</v>
      </c>
      <c r="AV16" s="2">
        <v>96579</v>
      </c>
      <c r="AW16" s="2">
        <v>96913</v>
      </c>
      <c r="AX16" s="2">
        <v>97253</v>
      </c>
      <c r="AY16" s="2">
        <v>97593</v>
      </c>
      <c r="AZ16" s="2">
        <v>97933</v>
      </c>
      <c r="BA16" s="2">
        <v>98278</v>
      </c>
      <c r="BB16" s="2">
        <v>98612</v>
      </c>
      <c r="BC16" s="2">
        <v>98942</v>
      </c>
      <c r="BD16" s="2">
        <v>99272</v>
      </c>
      <c r="BE16" s="2">
        <v>99606</v>
      </c>
      <c r="BF16" s="2">
        <v>99940</v>
      </c>
      <c r="BG16" s="2">
        <v>100275</v>
      </c>
      <c r="BH16" s="2">
        <v>100615</v>
      </c>
      <c r="BI16" s="2">
        <v>100945</v>
      </c>
      <c r="BJ16" s="2">
        <v>101285</v>
      </c>
      <c r="BK16" s="2">
        <v>101619</v>
      </c>
      <c r="BL16" s="2">
        <v>101953</v>
      </c>
      <c r="BM16" s="2">
        <v>102293</v>
      </c>
      <c r="BN16" s="2">
        <v>102627</v>
      </c>
      <c r="BO16" s="2">
        <v>102962</v>
      </c>
      <c r="BP16" s="2">
        <v>103297</v>
      </c>
      <c r="BQ16" s="2">
        <v>103637</v>
      </c>
      <c r="BR16" s="2">
        <v>103987</v>
      </c>
      <c r="BS16" s="2">
        <v>104332</v>
      </c>
      <c r="BT16" s="2">
        <v>104666</v>
      </c>
      <c r="BU16" s="2">
        <v>105001</v>
      </c>
      <c r="BV16" s="2">
        <v>105335</v>
      </c>
      <c r="BW16" s="2">
        <v>105670</v>
      </c>
    </row>
    <row r="17" spans="1:75" x14ac:dyDescent="0.2">
      <c r="A17" s="9"/>
      <c r="B17" s="2" t="s">
        <v>38</v>
      </c>
      <c r="C17" s="2" t="s">
        <v>39</v>
      </c>
      <c r="D17" s="2" t="s">
        <v>40</v>
      </c>
      <c r="E17" s="2">
        <v>208.58</v>
      </c>
      <c r="F17" s="6">
        <f>AM17/(AM10+AM11)</f>
        <v>200</v>
      </c>
      <c r="G17" s="6">
        <f>AN17/(AN10+AN11)</f>
        <v>199.95691718525609</v>
      </c>
      <c r="H17" s="6">
        <f>AO17/(AO10+AO11)</f>
        <v>199.95691718525609</v>
      </c>
      <c r="I17" s="2">
        <f t="shared" si="8"/>
        <v>1320</v>
      </c>
      <c r="J17" s="2">
        <f t="shared" si="7"/>
        <v>1400</v>
      </c>
      <c r="K17" s="2">
        <f t="shared" si="7"/>
        <v>1340</v>
      </c>
      <c r="L17" s="2">
        <f t="shared" si="7"/>
        <v>1320</v>
      </c>
      <c r="M17" s="2">
        <f t="shared" si="7"/>
        <v>1339</v>
      </c>
      <c r="N17" s="2">
        <f t="shared" si="7"/>
        <v>1360</v>
      </c>
      <c r="O17" s="2">
        <f t="shared" si="7"/>
        <v>1360</v>
      </c>
      <c r="P17" s="2">
        <f t="shared" si="7"/>
        <v>1360</v>
      </c>
      <c r="Q17" s="2">
        <f t="shared" si="7"/>
        <v>1380</v>
      </c>
      <c r="R17" s="2">
        <f t="shared" si="7"/>
        <v>1339</v>
      </c>
      <c r="S17" s="2">
        <f t="shared" si="7"/>
        <v>1320</v>
      </c>
      <c r="T17" s="2">
        <f t="shared" si="7"/>
        <v>1320</v>
      </c>
      <c r="U17" s="2">
        <f t="shared" si="7"/>
        <v>1339</v>
      </c>
      <c r="V17" s="2">
        <f t="shared" si="7"/>
        <v>1339</v>
      </c>
      <c r="W17" s="2">
        <f t="shared" si="7"/>
        <v>1340</v>
      </c>
      <c r="X17" s="2">
        <f t="shared" si="7"/>
        <v>1360</v>
      </c>
      <c r="Y17" s="2">
        <f t="shared" si="7"/>
        <v>1320</v>
      </c>
      <c r="Z17" s="2">
        <f t="shared" si="7"/>
        <v>1360</v>
      </c>
      <c r="AA17" s="2">
        <f t="shared" si="7"/>
        <v>1339</v>
      </c>
      <c r="AB17" s="2">
        <f t="shared" si="7"/>
        <v>1339</v>
      </c>
      <c r="AC17" s="2">
        <f t="shared" si="7"/>
        <v>1360</v>
      </c>
      <c r="AD17" s="2">
        <f t="shared" si="7"/>
        <v>1339</v>
      </c>
      <c r="AE17" s="2">
        <f t="shared" si="7"/>
        <v>1340</v>
      </c>
      <c r="AF17" s="2">
        <f t="shared" si="7"/>
        <v>1340</v>
      </c>
      <c r="AG17" s="2">
        <f t="shared" si="7"/>
        <v>1360</v>
      </c>
      <c r="AH17" s="2">
        <f t="shared" si="7"/>
        <v>1400</v>
      </c>
      <c r="AI17" s="2">
        <f t="shared" si="7"/>
        <v>1380</v>
      </c>
      <c r="AJ17" s="2">
        <f t="shared" si="7"/>
        <v>1339</v>
      </c>
      <c r="AK17" s="2">
        <f t="shared" si="7"/>
        <v>1340</v>
      </c>
      <c r="AL17" s="2">
        <f t="shared" si="7"/>
        <v>1339</v>
      </c>
      <c r="AM17" s="2">
        <f t="shared" si="7"/>
        <v>1340</v>
      </c>
      <c r="AN17" s="2">
        <f t="shared" si="3"/>
        <v>41771</v>
      </c>
      <c r="AO17" s="3">
        <f t="shared" si="4"/>
        <v>41771</v>
      </c>
      <c r="AP17" s="2" t="s">
        <v>92</v>
      </c>
      <c r="AQ17" s="2" t="s">
        <v>93</v>
      </c>
      <c r="AR17" s="2">
        <v>546</v>
      </c>
      <c r="AS17" s="2">
        <v>548</v>
      </c>
      <c r="AT17" s="2">
        <v>550.1</v>
      </c>
      <c r="AU17" s="2">
        <v>552.1</v>
      </c>
      <c r="AV17" s="2">
        <v>554.1</v>
      </c>
      <c r="AW17" s="2">
        <v>556.1</v>
      </c>
      <c r="AX17" s="2">
        <v>558.1</v>
      </c>
      <c r="AY17" s="2">
        <v>560.1</v>
      </c>
      <c r="AZ17" s="2">
        <v>562.1</v>
      </c>
      <c r="BA17" s="2">
        <v>564.20000000000005</v>
      </c>
      <c r="BB17" s="2">
        <v>566.20000000000005</v>
      </c>
      <c r="BC17" s="2">
        <v>568.20000000000005</v>
      </c>
      <c r="BD17" s="2">
        <v>570.20000000000005</v>
      </c>
      <c r="BE17" s="2">
        <v>572.20000000000005</v>
      </c>
      <c r="BF17" s="2">
        <v>574.20000000000005</v>
      </c>
      <c r="BG17" s="2">
        <v>576.20000000000005</v>
      </c>
      <c r="BH17" s="2">
        <v>578.20000000000005</v>
      </c>
      <c r="BI17" s="2">
        <v>580.20000000000005</v>
      </c>
      <c r="BJ17" s="2">
        <v>582.20000000000005</v>
      </c>
      <c r="BK17" s="2">
        <v>584.20000000000005</v>
      </c>
      <c r="BL17" s="2">
        <v>586.20000000000005</v>
      </c>
      <c r="BM17" s="2">
        <v>588.20000000000005</v>
      </c>
      <c r="BN17" s="2">
        <v>590.20000000000005</v>
      </c>
      <c r="BO17" s="2">
        <v>592.20000000000005</v>
      </c>
      <c r="BP17" s="2">
        <v>594.20000000000005</v>
      </c>
      <c r="BQ17" s="2">
        <v>596.20000000000005</v>
      </c>
      <c r="BR17" s="2">
        <v>598.29999999999995</v>
      </c>
      <c r="BS17" s="2">
        <v>600.4</v>
      </c>
      <c r="BT17" s="2">
        <v>602.4</v>
      </c>
      <c r="BU17" s="2">
        <v>604.4</v>
      </c>
      <c r="BV17" s="2">
        <v>606.4</v>
      </c>
      <c r="BW17" s="2">
        <v>608.4</v>
      </c>
    </row>
    <row r="18" spans="1:75" x14ac:dyDescent="0.2">
      <c r="A18" s="9"/>
      <c r="B18" s="2" t="s">
        <v>41</v>
      </c>
      <c r="C18" s="2" t="s">
        <v>39</v>
      </c>
      <c r="D18" s="2" t="s">
        <v>42</v>
      </c>
      <c r="E18" s="2">
        <v>52.57</v>
      </c>
      <c r="F18" s="6">
        <f>AM18/(AM10+AM11)</f>
        <v>50</v>
      </c>
      <c r="G18" s="6">
        <f>AN18/(AN10+AN11)</f>
        <v>49.956917185256103</v>
      </c>
      <c r="H18" s="6">
        <f>AO18/(AO10+AO11)</f>
        <v>49.956917185256103</v>
      </c>
      <c r="I18" s="2">
        <f t="shared" si="8"/>
        <v>330</v>
      </c>
      <c r="J18" s="2">
        <f t="shared" si="7"/>
        <v>350</v>
      </c>
      <c r="K18" s="2">
        <f t="shared" si="7"/>
        <v>335</v>
      </c>
      <c r="L18" s="2">
        <f t="shared" si="7"/>
        <v>330</v>
      </c>
      <c r="M18" s="2">
        <f t="shared" si="7"/>
        <v>334</v>
      </c>
      <c r="N18" s="2">
        <f t="shared" si="7"/>
        <v>340</v>
      </c>
      <c r="O18" s="2">
        <f t="shared" si="7"/>
        <v>340</v>
      </c>
      <c r="P18" s="2">
        <f t="shared" si="7"/>
        <v>340</v>
      </c>
      <c r="Q18" s="2">
        <f t="shared" si="7"/>
        <v>345</v>
      </c>
      <c r="R18" s="2">
        <f t="shared" si="7"/>
        <v>334</v>
      </c>
      <c r="S18" s="2">
        <f t="shared" si="7"/>
        <v>330</v>
      </c>
      <c r="T18" s="2">
        <f t="shared" si="7"/>
        <v>330</v>
      </c>
      <c r="U18" s="2">
        <f t="shared" si="7"/>
        <v>334</v>
      </c>
      <c r="V18" s="2">
        <f t="shared" si="7"/>
        <v>334</v>
      </c>
      <c r="W18" s="2">
        <f t="shared" si="7"/>
        <v>335</v>
      </c>
      <c r="X18" s="2">
        <f t="shared" si="7"/>
        <v>340</v>
      </c>
      <c r="Y18" s="2">
        <f t="shared" si="7"/>
        <v>330</v>
      </c>
      <c r="Z18" s="2">
        <f t="shared" si="7"/>
        <v>340</v>
      </c>
      <c r="AA18" s="2">
        <f t="shared" si="7"/>
        <v>334</v>
      </c>
      <c r="AB18" s="2">
        <f t="shared" si="7"/>
        <v>334</v>
      </c>
      <c r="AC18" s="2">
        <f t="shared" si="7"/>
        <v>340</v>
      </c>
      <c r="AD18" s="2">
        <f t="shared" si="7"/>
        <v>334</v>
      </c>
      <c r="AE18" s="2">
        <f t="shared" si="7"/>
        <v>335</v>
      </c>
      <c r="AF18" s="2">
        <f t="shared" si="7"/>
        <v>335</v>
      </c>
      <c r="AG18" s="2">
        <f t="shared" si="7"/>
        <v>340</v>
      </c>
      <c r="AH18" s="2">
        <f t="shared" si="7"/>
        <v>350</v>
      </c>
      <c r="AI18" s="2">
        <f t="shared" si="7"/>
        <v>345</v>
      </c>
      <c r="AJ18" s="2">
        <f t="shared" si="7"/>
        <v>334</v>
      </c>
      <c r="AK18" s="2">
        <f t="shared" si="7"/>
        <v>335</v>
      </c>
      <c r="AL18" s="2">
        <f t="shared" si="7"/>
        <v>334</v>
      </c>
      <c r="AM18" s="2">
        <f t="shared" si="7"/>
        <v>335</v>
      </c>
      <c r="AN18" s="2">
        <f t="shared" si="3"/>
        <v>10436</v>
      </c>
      <c r="AO18" s="3">
        <f t="shared" si="4"/>
        <v>10436</v>
      </c>
      <c r="AP18" s="13" t="s">
        <v>76</v>
      </c>
      <c r="AQ18" s="2" t="s">
        <v>94</v>
      </c>
      <c r="AR18" s="7">
        <v>48.07</v>
      </c>
      <c r="AS18" s="7">
        <v>46.25</v>
      </c>
      <c r="AT18" s="7">
        <v>43.08</v>
      </c>
      <c r="AU18" s="7">
        <v>41.21</v>
      </c>
      <c r="AV18" s="7">
        <v>39.409999999999997</v>
      </c>
      <c r="AW18" s="7">
        <v>36.340000000000003</v>
      </c>
      <c r="AX18" s="7">
        <v>36.340000000000003</v>
      </c>
      <c r="AY18" s="7">
        <v>34.47</v>
      </c>
      <c r="AZ18" s="7">
        <v>34.47</v>
      </c>
      <c r="BA18" s="7">
        <v>32.54</v>
      </c>
      <c r="BB18" s="7">
        <v>32.54</v>
      </c>
      <c r="BC18" s="7">
        <v>30.69</v>
      </c>
      <c r="BD18" s="7">
        <v>30.69</v>
      </c>
      <c r="BE18" s="7">
        <v>27.71</v>
      </c>
      <c r="BF18" s="7">
        <v>27.71</v>
      </c>
      <c r="BG18" s="7">
        <v>27.71</v>
      </c>
      <c r="BH18" s="7">
        <v>24.59</v>
      </c>
      <c r="BI18" s="7">
        <v>24.59</v>
      </c>
      <c r="BJ18" s="7">
        <v>22.1</v>
      </c>
      <c r="BK18" s="7">
        <v>22.1</v>
      </c>
      <c r="BL18" s="7">
        <v>19.68</v>
      </c>
      <c r="BM18" s="7">
        <v>19.68</v>
      </c>
      <c r="BN18" s="7">
        <v>19.68</v>
      </c>
      <c r="BO18" s="7">
        <v>19.68</v>
      </c>
      <c r="BP18" s="7">
        <v>19.68</v>
      </c>
      <c r="BQ18" s="7">
        <v>19.68</v>
      </c>
      <c r="BR18" s="7">
        <v>19.68</v>
      </c>
      <c r="BS18" s="7">
        <v>19.68</v>
      </c>
      <c r="BT18" s="7">
        <v>19.68</v>
      </c>
      <c r="BU18" s="7">
        <v>19.68</v>
      </c>
      <c r="BV18" s="7">
        <v>19.68</v>
      </c>
      <c r="BW18" s="7">
        <v>19.68</v>
      </c>
    </row>
    <row r="19" spans="1:75" x14ac:dyDescent="0.2">
      <c r="A19" s="9" t="s">
        <v>43</v>
      </c>
      <c r="B19" s="2" t="s">
        <v>44</v>
      </c>
      <c r="C19" s="2" t="s">
        <v>12</v>
      </c>
      <c r="D19" s="2" t="s">
        <v>14</v>
      </c>
      <c r="E19" s="2" t="s">
        <v>14</v>
      </c>
      <c r="F19" s="6" t="s">
        <v>14</v>
      </c>
      <c r="G19" s="6" t="s">
        <v>14</v>
      </c>
      <c r="H19" s="6" t="s">
        <v>14</v>
      </c>
      <c r="I19" s="2">
        <v>0</v>
      </c>
      <c r="J19" s="2">
        <v>0</v>
      </c>
      <c r="K19" s="2">
        <v>0</v>
      </c>
      <c r="L19" s="2">
        <v>0.9</v>
      </c>
      <c r="M19" s="2">
        <v>0.9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1.4</v>
      </c>
      <c r="V19" s="2">
        <v>0</v>
      </c>
      <c r="W19" s="2">
        <v>0</v>
      </c>
      <c r="X19" s="2">
        <v>1.1000000000000001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f t="shared" si="3"/>
        <v>4.3000000000000007</v>
      </c>
      <c r="AO19" s="3">
        <f t="shared" si="4"/>
        <v>4.3000000000000007</v>
      </c>
      <c r="AP19" s="15"/>
      <c r="AQ19" s="2" t="s">
        <v>95</v>
      </c>
      <c r="AR19" s="7">
        <v>39.03</v>
      </c>
      <c r="AS19" s="7">
        <v>39.03</v>
      </c>
      <c r="AT19" s="7">
        <v>39.03</v>
      </c>
      <c r="AU19" s="7">
        <v>39.03</v>
      </c>
      <c r="AV19" s="7">
        <v>39.03</v>
      </c>
      <c r="AW19" s="7">
        <v>39.03</v>
      </c>
      <c r="AX19" s="7">
        <v>35.950000000000003</v>
      </c>
      <c r="AY19" s="7">
        <v>35.950000000000003</v>
      </c>
      <c r="AZ19" s="7">
        <v>33.450000000000003</v>
      </c>
      <c r="BA19" s="7">
        <v>33.450000000000003</v>
      </c>
      <c r="BB19" s="7">
        <v>31.63</v>
      </c>
      <c r="BC19" s="7">
        <v>31.63</v>
      </c>
      <c r="BD19" s="7">
        <v>29.76</v>
      </c>
      <c r="BE19" s="7">
        <v>29.76</v>
      </c>
      <c r="BF19" s="7">
        <v>27.93</v>
      </c>
      <c r="BG19" s="7">
        <v>25.45</v>
      </c>
      <c r="BH19" s="7">
        <v>25.45</v>
      </c>
      <c r="BI19" s="7">
        <v>23.08</v>
      </c>
      <c r="BJ19" s="7">
        <v>23.08</v>
      </c>
      <c r="BK19" s="7">
        <v>20.67</v>
      </c>
      <c r="BL19" s="7">
        <v>20.67</v>
      </c>
      <c r="BM19" s="7">
        <v>37.19</v>
      </c>
      <c r="BN19" s="7">
        <v>34.159999999999997</v>
      </c>
      <c r="BO19" s="7">
        <v>31.71</v>
      </c>
      <c r="BP19" s="7">
        <v>29.27</v>
      </c>
      <c r="BQ19" s="7">
        <v>26.13</v>
      </c>
      <c r="BR19" s="7">
        <v>22.93</v>
      </c>
      <c r="BS19" s="7">
        <v>19.809999999999999</v>
      </c>
      <c r="BT19" s="7">
        <v>37.229999999999997</v>
      </c>
      <c r="BU19" s="7">
        <v>35.340000000000003</v>
      </c>
      <c r="BV19" s="7">
        <v>33.520000000000003</v>
      </c>
      <c r="BW19" s="7">
        <v>31.02</v>
      </c>
    </row>
    <row r="20" spans="1:75" x14ac:dyDescent="0.2">
      <c r="A20" s="9"/>
      <c r="B20" s="2" t="s">
        <v>45</v>
      </c>
      <c r="C20" s="2" t="s">
        <v>12</v>
      </c>
      <c r="D20" s="2" t="s">
        <v>46</v>
      </c>
      <c r="E20" s="2">
        <v>0.33</v>
      </c>
      <c r="F20" s="6">
        <f>AM20/(AM10+AM11)</f>
        <v>0.29850746268656714</v>
      </c>
      <c r="G20" s="6">
        <f>AN20/(AN10+AN11)</f>
        <v>0.2987075155576831</v>
      </c>
      <c r="H20" s="6">
        <f>AO20/(AO10+AO11)</f>
        <v>0.2987075155576831</v>
      </c>
      <c r="I20" s="2">
        <v>2</v>
      </c>
      <c r="J20" s="2">
        <v>2.1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2.1</v>
      </c>
      <c r="R20" s="2">
        <v>2</v>
      </c>
      <c r="S20" s="2">
        <v>2</v>
      </c>
      <c r="T20" s="2">
        <v>2</v>
      </c>
      <c r="U20" s="2">
        <v>2</v>
      </c>
      <c r="V20" s="2">
        <v>2</v>
      </c>
      <c r="W20" s="2">
        <v>2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2</v>
      </c>
      <c r="AD20" s="2">
        <v>2</v>
      </c>
      <c r="AE20" s="2">
        <v>2</v>
      </c>
      <c r="AF20" s="2">
        <v>2</v>
      </c>
      <c r="AG20" s="2">
        <v>2</v>
      </c>
      <c r="AH20" s="2">
        <v>2.1</v>
      </c>
      <c r="AI20" s="2">
        <v>2.1</v>
      </c>
      <c r="AJ20" s="2">
        <v>2</v>
      </c>
      <c r="AK20" s="2">
        <v>2</v>
      </c>
      <c r="AL20" s="2">
        <v>2</v>
      </c>
      <c r="AM20" s="2">
        <v>2</v>
      </c>
      <c r="AN20" s="2">
        <f t="shared" si="3"/>
        <v>62.400000000000006</v>
      </c>
      <c r="AO20" s="3">
        <f t="shared" si="4"/>
        <v>62.400000000000006</v>
      </c>
      <c r="AP20" s="13" t="s">
        <v>80</v>
      </c>
      <c r="AQ20" s="2" t="s">
        <v>96</v>
      </c>
      <c r="AR20" s="7">
        <f>AR6*1.5</f>
        <v>105.795</v>
      </c>
      <c r="AS20" s="7">
        <f t="shared" ref="AS20:BW20" si="9">AS6*1.5</f>
        <v>103.035</v>
      </c>
      <c r="AT20" s="7">
        <f t="shared" si="9"/>
        <v>98.19</v>
      </c>
      <c r="AU20" s="7">
        <f t="shared" si="9"/>
        <v>95.28</v>
      </c>
      <c r="AV20" s="7">
        <f t="shared" si="9"/>
        <v>95.28</v>
      </c>
      <c r="AW20" s="7">
        <f t="shared" si="9"/>
        <v>90.69</v>
      </c>
      <c r="AX20" s="7">
        <f t="shared" si="9"/>
        <v>90.69</v>
      </c>
      <c r="AY20" s="7">
        <f t="shared" si="9"/>
        <v>87.795000000000002</v>
      </c>
      <c r="AZ20" s="7">
        <f t="shared" si="9"/>
        <v>87.795000000000002</v>
      </c>
      <c r="BA20" s="7">
        <f t="shared" si="9"/>
        <v>84.929999999999993</v>
      </c>
      <c r="BB20" s="7">
        <f t="shared" si="9"/>
        <v>84.929999999999993</v>
      </c>
      <c r="BC20" s="7">
        <f t="shared" si="9"/>
        <v>82.11</v>
      </c>
      <c r="BD20" s="7">
        <f t="shared" si="9"/>
        <v>82.11</v>
      </c>
      <c r="BE20" s="7">
        <f t="shared" si="9"/>
        <v>77.414999999999992</v>
      </c>
      <c r="BF20" s="7">
        <f t="shared" si="9"/>
        <v>77.414999999999992</v>
      </c>
      <c r="BG20" s="7">
        <f t="shared" si="9"/>
        <v>77.414999999999992</v>
      </c>
      <c r="BH20" s="7">
        <f t="shared" si="9"/>
        <v>72.66</v>
      </c>
      <c r="BI20" s="7">
        <f t="shared" si="9"/>
        <v>72.66</v>
      </c>
      <c r="BJ20" s="7">
        <f t="shared" si="9"/>
        <v>68.91</v>
      </c>
      <c r="BK20" s="7">
        <f t="shared" si="9"/>
        <v>68.91</v>
      </c>
      <c r="BL20" s="7">
        <f t="shared" si="9"/>
        <v>65.22</v>
      </c>
      <c r="BM20" s="7">
        <f t="shared" si="9"/>
        <v>65.22</v>
      </c>
      <c r="BN20" s="7">
        <f t="shared" si="9"/>
        <v>60.66</v>
      </c>
      <c r="BO20" s="7">
        <f t="shared" si="9"/>
        <v>60.66</v>
      </c>
      <c r="BP20" s="7">
        <f t="shared" si="9"/>
        <v>56.88</v>
      </c>
      <c r="BQ20" s="7">
        <f t="shared" si="9"/>
        <v>56.88</v>
      </c>
      <c r="BR20" s="7">
        <f t="shared" si="9"/>
        <v>52.14</v>
      </c>
      <c r="BS20" s="7">
        <f t="shared" si="9"/>
        <v>52.14</v>
      </c>
      <c r="BT20" s="7">
        <f t="shared" si="9"/>
        <v>49.364999999999995</v>
      </c>
      <c r="BU20" s="7">
        <f t="shared" si="9"/>
        <v>49.364999999999995</v>
      </c>
      <c r="BV20" s="7">
        <f t="shared" si="9"/>
        <v>46.545000000000002</v>
      </c>
      <c r="BW20" s="7">
        <f t="shared" si="9"/>
        <v>73.724999999999994</v>
      </c>
    </row>
    <row r="21" spans="1:75" x14ac:dyDescent="0.2">
      <c r="A21" s="9"/>
      <c r="B21" s="2" t="s">
        <v>47</v>
      </c>
      <c r="C21" s="2" t="s">
        <v>12</v>
      </c>
      <c r="D21" s="2" t="s">
        <v>48</v>
      </c>
      <c r="E21" s="2">
        <v>0.35</v>
      </c>
      <c r="F21" s="6">
        <f>AM21/AM11</f>
        <v>0</v>
      </c>
      <c r="G21" s="6">
        <f>AN21/AN11</f>
        <v>0.29962546816479402</v>
      </c>
      <c r="H21" s="6">
        <f>AO21/AO11</f>
        <v>0.29962546816479402</v>
      </c>
      <c r="I21" s="2">
        <v>4</v>
      </c>
      <c r="J21" s="2">
        <v>0</v>
      </c>
      <c r="K21" s="2">
        <v>0</v>
      </c>
      <c r="L21" s="2">
        <v>4</v>
      </c>
      <c r="M21" s="2">
        <v>0</v>
      </c>
      <c r="N21" s="2">
        <v>0</v>
      </c>
      <c r="O21" s="2">
        <v>0</v>
      </c>
      <c r="P21" s="2">
        <v>3</v>
      </c>
      <c r="Q21" s="2">
        <v>0</v>
      </c>
      <c r="R21" s="2">
        <v>0</v>
      </c>
      <c r="S21" s="2">
        <v>2</v>
      </c>
      <c r="T21" s="2">
        <v>0</v>
      </c>
      <c r="U21" s="2">
        <v>0</v>
      </c>
      <c r="V21" s="2">
        <v>0</v>
      </c>
      <c r="W21" s="2">
        <v>3</v>
      </c>
      <c r="X21" s="2">
        <v>0</v>
      </c>
      <c r="Y21" s="2">
        <v>0</v>
      </c>
      <c r="Z21" s="2">
        <v>3</v>
      </c>
      <c r="AA21" s="2">
        <v>0</v>
      </c>
      <c r="AB21" s="2">
        <v>0</v>
      </c>
      <c r="AC21" s="2">
        <v>0</v>
      </c>
      <c r="AD21" s="2">
        <v>4</v>
      </c>
      <c r="AE21" s="2">
        <v>0</v>
      </c>
      <c r="AF21" s="2">
        <v>0</v>
      </c>
      <c r="AG21" s="2">
        <v>4</v>
      </c>
      <c r="AH21" s="2">
        <v>0</v>
      </c>
      <c r="AI21" s="2">
        <v>0</v>
      </c>
      <c r="AJ21" s="2">
        <v>0</v>
      </c>
      <c r="AK21" s="2">
        <v>5</v>
      </c>
      <c r="AL21" s="2">
        <v>0</v>
      </c>
      <c r="AM21" s="2">
        <v>0</v>
      </c>
      <c r="AN21" s="2">
        <f t="shared" si="3"/>
        <v>32</v>
      </c>
      <c r="AO21" s="3">
        <f t="shared" si="4"/>
        <v>32</v>
      </c>
      <c r="AP21" s="15"/>
      <c r="AQ21" s="2" t="s">
        <v>97</v>
      </c>
      <c r="AR21" s="7">
        <f>AR7*1.5</f>
        <v>97.97999999999999</v>
      </c>
      <c r="AS21" s="7">
        <f t="shared" ref="AS21:BW21" si="10">AS7*1.5</f>
        <v>97.97999999999999</v>
      </c>
      <c r="AT21" s="7">
        <f t="shared" si="10"/>
        <v>97.97999999999999</v>
      </c>
      <c r="AU21" s="7">
        <f t="shared" si="10"/>
        <v>97.97999999999999</v>
      </c>
      <c r="AV21" s="7">
        <f t="shared" si="10"/>
        <v>95.19</v>
      </c>
      <c r="AW21" s="7">
        <f t="shared" si="10"/>
        <v>95.19</v>
      </c>
      <c r="AX21" s="7">
        <f t="shared" si="10"/>
        <v>90.465000000000003</v>
      </c>
      <c r="AY21" s="7">
        <f t="shared" si="10"/>
        <v>90.465000000000003</v>
      </c>
      <c r="AZ21" s="7">
        <f t="shared" si="10"/>
        <v>86.789999999999992</v>
      </c>
      <c r="BA21" s="7">
        <f t="shared" si="10"/>
        <v>86.789999999999992</v>
      </c>
      <c r="BB21" s="7">
        <f t="shared" si="10"/>
        <v>84.045000000000002</v>
      </c>
      <c r="BC21" s="7">
        <f t="shared" si="10"/>
        <v>84.045000000000002</v>
      </c>
      <c r="BD21" s="7">
        <f t="shared" si="10"/>
        <v>81.150000000000006</v>
      </c>
      <c r="BE21" s="7">
        <f t="shared" si="10"/>
        <v>81.150000000000006</v>
      </c>
      <c r="BF21" s="7">
        <f t="shared" si="10"/>
        <v>78.375</v>
      </c>
      <c r="BG21" s="7">
        <f t="shared" si="10"/>
        <v>74.594999999999999</v>
      </c>
      <c r="BH21" s="7">
        <f t="shared" si="10"/>
        <v>74.594999999999999</v>
      </c>
      <c r="BI21" s="7">
        <f t="shared" si="10"/>
        <v>70.995000000000005</v>
      </c>
      <c r="BJ21" s="7">
        <f t="shared" si="10"/>
        <v>70.995000000000005</v>
      </c>
      <c r="BK21" s="7">
        <f t="shared" si="10"/>
        <v>67.335000000000008</v>
      </c>
      <c r="BL21" s="7">
        <f t="shared" si="10"/>
        <v>67.335000000000008</v>
      </c>
      <c r="BM21" s="7">
        <f t="shared" si="10"/>
        <v>62.760000000000005</v>
      </c>
      <c r="BN21" s="7">
        <f t="shared" si="10"/>
        <v>62.760000000000005</v>
      </c>
      <c r="BO21" s="7">
        <f t="shared" si="10"/>
        <v>58.980000000000004</v>
      </c>
      <c r="BP21" s="7">
        <f t="shared" si="10"/>
        <v>58.980000000000004</v>
      </c>
      <c r="BQ21" s="7">
        <f t="shared" si="10"/>
        <v>54.300000000000004</v>
      </c>
      <c r="BR21" s="7">
        <f t="shared" si="10"/>
        <v>54.300000000000004</v>
      </c>
      <c r="BS21" s="7">
        <f t="shared" si="10"/>
        <v>49.394999999999996</v>
      </c>
      <c r="BT21" s="7">
        <f t="shared" si="10"/>
        <v>49.394999999999996</v>
      </c>
      <c r="BU21" s="7">
        <f t="shared" si="10"/>
        <v>46.515000000000001</v>
      </c>
      <c r="BV21" s="7">
        <f t="shared" si="10"/>
        <v>46.515000000000001</v>
      </c>
      <c r="BW21" s="7">
        <f t="shared" si="10"/>
        <v>46.515000000000001</v>
      </c>
    </row>
    <row r="22" spans="1:75" x14ac:dyDescent="0.2">
      <c r="A22" s="9"/>
      <c r="B22" s="2" t="s">
        <v>49</v>
      </c>
      <c r="C22" s="2" t="s">
        <v>12</v>
      </c>
      <c r="D22" s="2" t="s">
        <v>50</v>
      </c>
      <c r="E22" s="2">
        <v>0.03</v>
      </c>
      <c r="F22" s="6">
        <f>AM22/(AM10+AM11)</f>
        <v>0</v>
      </c>
      <c r="G22" s="6">
        <f>AN22/(AN10+AN11)</f>
        <v>2.7285782671134514E-2</v>
      </c>
      <c r="H22" s="6">
        <f>AO22/(AO10+AO11)</f>
        <v>2.7285782671134514E-2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0.8</v>
      </c>
      <c r="R22" s="2">
        <v>0</v>
      </c>
      <c r="S22" s="2">
        <v>0</v>
      </c>
      <c r="T22" s="2">
        <v>0</v>
      </c>
      <c r="U22" s="2">
        <v>1</v>
      </c>
      <c r="V22" s="2">
        <v>1.1000000000000001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0.9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0.9</v>
      </c>
      <c r="AM22" s="2">
        <v>0</v>
      </c>
      <c r="AN22" s="2">
        <f t="shared" si="3"/>
        <v>5.7</v>
      </c>
      <c r="AO22" s="2">
        <f t="shared" si="4"/>
        <v>5.7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 spans="1:75" x14ac:dyDescent="0.2">
      <c r="A23" s="2" t="s">
        <v>51</v>
      </c>
      <c r="B23" s="2" t="s">
        <v>52</v>
      </c>
      <c r="C23" s="9">
        <f>SUM(D32:D34)</f>
        <v>1.6</v>
      </c>
      <c r="D23" s="9"/>
      <c r="E23" s="9"/>
      <c r="F23" s="9"/>
      <c r="G23" s="9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 spans="1:75" x14ac:dyDescent="0.2">
      <c r="A24" s="2" t="s">
        <v>53</v>
      </c>
      <c r="B24" s="2" t="s">
        <v>54</v>
      </c>
      <c r="C24" s="9">
        <f>SUM(D35:D39)</f>
        <v>1.7</v>
      </c>
      <c r="D24" s="9"/>
      <c r="E24" s="9"/>
      <c r="F24" s="9"/>
      <c r="G24" s="9"/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 spans="1:75" x14ac:dyDescent="0.2">
      <c r="A25" s="2" t="s">
        <v>55</v>
      </c>
      <c r="B25" s="2" t="s">
        <v>52</v>
      </c>
      <c r="C25" s="9">
        <f>SUM(E32:F34)</f>
        <v>1.6</v>
      </c>
      <c r="D25" s="9"/>
      <c r="E25" s="9"/>
      <c r="F25" s="9"/>
      <c r="G25" s="9"/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 spans="1:75" x14ac:dyDescent="0.2">
      <c r="A26" s="2" t="s">
        <v>56</v>
      </c>
      <c r="B26" s="2" t="s">
        <v>54</v>
      </c>
      <c r="C26" s="9">
        <f>SUM(E35:F39)</f>
        <v>1.7</v>
      </c>
      <c r="D26" s="9"/>
      <c r="E26" s="9"/>
      <c r="F26" s="9"/>
      <c r="G26" s="9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 spans="1:75" x14ac:dyDescent="0.2">
      <c r="A27" s="2" t="s">
        <v>57</v>
      </c>
      <c r="B27" s="2" t="s">
        <v>52</v>
      </c>
      <c r="C27" s="9">
        <f>SUM(G32:H34)</f>
        <v>1.6</v>
      </c>
      <c r="D27" s="9"/>
      <c r="E27" s="9"/>
      <c r="F27" s="9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 spans="1:75" x14ac:dyDescent="0.2">
      <c r="A28" s="2" t="s">
        <v>58</v>
      </c>
      <c r="B28" s="2" t="s">
        <v>54</v>
      </c>
      <c r="C28" s="9">
        <f>SUM(G35:H39)</f>
        <v>1.7</v>
      </c>
      <c r="D28" s="9"/>
      <c r="E28" s="9"/>
      <c r="F28" s="9"/>
      <c r="G28" s="9"/>
      <c r="H28" s="9"/>
      <c r="I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 spans="1:75" x14ac:dyDescent="0.2">
      <c r="A29" s="9" t="s">
        <v>59</v>
      </c>
      <c r="B29" s="9"/>
      <c r="C29" s="9"/>
      <c r="D29" s="9"/>
      <c r="E29" s="9"/>
      <c r="F29" s="9"/>
      <c r="G29" s="9"/>
      <c r="H29" s="9"/>
      <c r="I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 spans="1:75" x14ac:dyDescent="0.2">
      <c r="A30" s="9"/>
      <c r="B30" s="9"/>
      <c r="C30" s="9"/>
      <c r="D30" s="9"/>
      <c r="E30" s="9"/>
      <c r="F30" s="9"/>
      <c r="G30" s="9"/>
      <c r="H30" s="9"/>
      <c r="I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</row>
    <row r="31" spans="1:75" x14ac:dyDescent="0.2">
      <c r="A31" s="9" t="s">
        <v>60</v>
      </c>
      <c r="B31" s="9"/>
      <c r="C31" s="9"/>
      <c r="D31" s="2" t="s">
        <v>61</v>
      </c>
      <c r="E31" s="10" t="s">
        <v>62</v>
      </c>
      <c r="F31" s="12"/>
      <c r="G31" s="9" t="s">
        <v>63</v>
      </c>
      <c r="H31" s="9"/>
      <c r="I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spans="1:75" x14ac:dyDescent="0.2">
      <c r="A32" s="9" t="s">
        <v>66</v>
      </c>
      <c r="B32" s="9"/>
      <c r="C32" s="9"/>
      <c r="D32" s="2">
        <v>0</v>
      </c>
      <c r="E32" s="10">
        <v>0</v>
      </c>
      <c r="F32" s="12"/>
      <c r="G32" s="9">
        <v>0</v>
      </c>
      <c r="H32" s="9"/>
      <c r="I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spans="1:43" x14ac:dyDescent="0.2">
      <c r="A33" s="9" t="s">
        <v>67</v>
      </c>
      <c r="B33" s="9"/>
      <c r="C33" s="9"/>
      <c r="D33" s="2">
        <v>0</v>
      </c>
      <c r="E33" s="10">
        <v>0</v>
      </c>
      <c r="F33" s="12"/>
      <c r="G33" s="9">
        <v>0</v>
      </c>
      <c r="H33" s="9"/>
      <c r="I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spans="1:43" x14ac:dyDescent="0.2">
      <c r="A34" s="9" t="s">
        <v>69</v>
      </c>
      <c r="B34" s="9"/>
      <c r="C34" s="9"/>
      <c r="D34" s="2">
        <v>1.6</v>
      </c>
      <c r="E34" s="10">
        <v>1.6</v>
      </c>
      <c r="F34" s="12"/>
      <c r="G34" s="9">
        <v>1.6</v>
      </c>
      <c r="H34" s="9"/>
      <c r="I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spans="1:43" x14ac:dyDescent="0.2">
      <c r="A35" s="9" t="s">
        <v>65</v>
      </c>
      <c r="B35" s="9"/>
      <c r="C35" s="9"/>
      <c r="D35" s="2">
        <v>0</v>
      </c>
      <c r="E35" s="10">
        <v>0</v>
      </c>
      <c r="F35" s="12"/>
      <c r="G35" s="10">
        <v>0</v>
      </c>
      <c r="H35" s="1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spans="1:43" x14ac:dyDescent="0.2">
      <c r="A36" s="10" t="s">
        <v>68</v>
      </c>
      <c r="B36" s="11"/>
      <c r="C36" s="12"/>
      <c r="D36" s="2">
        <v>0</v>
      </c>
      <c r="E36" s="10">
        <v>0</v>
      </c>
      <c r="F36" s="12"/>
      <c r="G36" s="10">
        <v>0</v>
      </c>
      <c r="H36" s="12"/>
      <c r="I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spans="1:43" x14ac:dyDescent="0.2">
      <c r="A37" s="9" t="s">
        <v>70</v>
      </c>
      <c r="B37" s="9"/>
      <c r="C37" s="9"/>
      <c r="D37" s="2">
        <v>0</v>
      </c>
      <c r="E37" s="10">
        <v>0</v>
      </c>
      <c r="F37" s="12"/>
      <c r="G37" s="10">
        <v>0</v>
      </c>
      <c r="H37" s="12"/>
      <c r="I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spans="1:43" x14ac:dyDescent="0.2">
      <c r="A38" s="9" t="s">
        <v>71</v>
      </c>
      <c r="B38" s="9"/>
      <c r="C38" s="9"/>
      <c r="D38" s="2">
        <v>0</v>
      </c>
      <c r="E38" s="10">
        <v>0</v>
      </c>
      <c r="F38" s="12"/>
      <c r="G38" s="10">
        <v>0</v>
      </c>
      <c r="H38" s="12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spans="1:43" x14ac:dyDescent="0.2">
      <c r="A39" s="9" t="s">
        <v>72</v>
      </c>
      <c r="B39" s="9"/>
      <c r="C39" s="9"/>
      <c r="D39" s="2">
        <v>1.7</v>
      </c>
      <c r="E39" s="10">
        <v>1.7</v>
      </c>
      <c r="F39" s="12"/>
      <c r="G39" s="9">
        <v>1.7</v>
      </c>
      <c r="H39" s="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3" x14ac:dyDescent="0.2">
      <c r="A40" s="9" t="s">
        <v>73</v>
      </c>
      <c r="B40" s="9"/>
      <c r="C40" s="9"/>
      <c r="D40" s="2">
        <v>3</v>
      </c>
      <c r="E40" s="10">
        <v>2.7</v>
      </c>
      <c r="F40" s="12"/>
      <c r="G40" s="9">
        <v>2.4</v>
      </c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</sheetData>
  <mergeCells count="56">
    <mergeCell ref="A39:C39"/>
    <mergeCell ref="A40:C40"/>
    <mergeCell ref="A35:C35"/>
    <mergeCell ref="G36:H36"/>
    <mergeCell ref="G37:H37"/>
    <mergeCell ref="G38:H38"/>
    <mergeCell ref="E35:F35"/>
    <mergeCell ref="E36:F36"/>
    <mergeCell ref="G35:H35"/>
    <mergeCell ref="A36:C36"/>
    <mergeCell ref="A37:C37"/>
    <mergeCell ref="A38:C38"/>
    <mergeCell ref="G39:H39"/>
    <mergeCell ref="E38:F38"/>
    <mergeCell ref="E39:F39"/>
    <mergeCell ref="E40:F40"/>
    <mergeCell ref="C23:H23"/>
    <mergeCell ref="C24:H24"/>
    <mergeCell ref="C25:H25"/>
    <mergeCell ref="G32:H32"/>
    <mergeCell ref="G33:H33"/>
    <mergeCell ref="G34:H34"/>
    <mergeCell ref="A32:C32"/>
    <mergeCell ref="A33:C33"/>
    <mergeCell ref="E32:F32"/>
    <mergeCell ref="E33:F33"/>
    <mergeCell ref="E34:F34"/>
    <mergeCell ref="A34:C34"/>
    <mergeCell ref="E37:F37"/>
    <mergeCell ref="G40:H40"/>
    <mergeCell ref="AP1:BW1"/>
    <mergeCell ref="G31:H31"/>
    <mergeCell ref="C26:H26"/>
    <mergeCell ref="C27:H27"/>
    <mergeCell ref="AP3:AP5"/>
    <mergeCell ref="AP6:AP7"/>
    <mergeCell ref="AP9:AP10"/>
    <mergeCell ref="AP18:AP19"/>
    <mergeCell ref="AP20:AP21"/>
    <mergeCell ref="C28:H28"/>
    <mergeCell ref="A29:H30"/>
    <mergeCell ref="E31:F31"/>
    <mergeCell ref="A31:C31"/>
    <mergeCell ref="A19:A22"/>
    <mergeCell ref="A1:A2"/>
    <mergeCell ref="I1:AM1"/>
    <mergeCell ref="C1:C2"/>
    <mergeCell ref="F1:F2"/>
    <mergeCell ref="G1:G2"/>
    <mergeCell ref="H1:H2"/>
    <mergeCell ref="D1:E2"/>
    <mergeCell ref="A3:A7"/>
    <mergeCell ref="A8:A9"/>
    <mergeCell ref="A10:A11"/>
    <mergeCell ref="A12:A18"/>
    <mergeCell ref="B1:B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Alex2017</dc:creator>
  <cp:lastModifiedBy>czfq630@126.com</cp:lastModifiedBy>
  <dcterms:created xsi:type="dcterms:W3CDTF">2015-06-05T18:19:34Z</dcterms:created>
  <dcterms:modified xsi:type="dcterms:W3CDTF">2025-12-10T14:40:34Z</dcterms:modified>
</cp:coreProperties>
</file>